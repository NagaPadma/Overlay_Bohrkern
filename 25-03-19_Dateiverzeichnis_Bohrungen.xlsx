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P:\I2535F001_KI-Explore\Datenbank\"/>
    </mc:Choice>
  </mc:AlternateContent>
  <bookViews>
    <workbookView xWindow="0" yWindow="0" windowWidth="19200" windowHeight="5400" activeTab="5"/>
  </bookViews>
  <sheets>
    <sheet name="alle Dateien" sheetId="2" r:id="rId1"/>
    <sheet name="Bohrungen" sheetId="1" r:id="rId2"/>
    <sheet name="Geo_Koordinaten" sheetId="4" r:id="rId3"/>
    <sheet name="Kategorie" sheetId="3" r:id="rId4"/>
    <sheet name="Zusammenführung" sheetId="5" r:id="rId5"/>
    <sheet name="Zusammenführung gefiltert" sheetId="7" r:id="rId6"/>
  </sheets>
  <definedNames>
    <definedName name="_xlnm._FilterDatabase" localSheetId="0" hidden="1">'alle Dateien'!$A$1:$D$2441</definedName>
    <definedName name="_xlnm._FilterDatabase" localSheetId="1" hidden="1">Bohrungen!$A$1:$U$1</definedName>
    <definedName name="_xlnm._FilterDatabase" localSheetId="3" hidden="1">Kategorie!#REF!</definedName>
    <definedName name="_xlnm.Criteria" localSheetId="3">Kategorie!#REF!</definedName>
    <definedName name="_xlnm.Extract" localSheetId="3">Kategorie!$B$2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7" i="1" l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C2" i="1"/>
  <c r="U2" i="1" s="1"/>
  <c r="V2" i="1" s="1"/>
  <c r="C4" i="1"/>
  <c r="D4" i="1"/>
  <c r="E4" i="1"/>
  <c r="F4" i="1"/>
  <c r="G4" i="1"/>
  <c r="H4" i="1"/>
  <c r="I4" i="1"/>
  <c r="J4" i="1"/>
  <c r="K4" i="1"/>
  <c r="U4" i="1" s="1"/>
  <c r="L4" i="1"/>
  <c r="M4" i="1"/>
  <c r="N4" i="1"/>
  <c r="O4" i="1"/>
  <c r="P4" i="1"/>
  <c r="Q4" i="1"/>
  <c r="R4" i="1"/>
  <c r="S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U5" i="1" s="1"/>
  <c r="R5" i="1"/>
  <c r="S5" i="1"/>
  <c r="C6" i="1"/>
  <c r="D6" i="1"/>
  <c r="E6" i="1"/>
  <c r="F6" i="1"/>
  <c r="G6" i="1"/>
  <c r="U6" i="1" s="1"/>
  <c r="H6" i="1"/>
  <c r="I6" i="1"/>
  <c r="J6" i="1"/>
  <c r="K6" i="1"/>
  <c r="L6" i="1"/>
  <c r="M6" i="1"/>
  <c r="N6" i="1"/>
  <c r="O6" i="1"/>
  <c r="P6" i="1"/>
  <c r="Q6" i="1"/>
  <c r="R6" i="1"/>
  <c r="S6" i="1"/>
  <c r="C7" i="1"/>
  <c r="D7" i="1"/>
  <c r="E7" i="1"/>
  <c r="U7" i="1" s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C9" i="1"/>
  <c r="U9" i="1" s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C11" i="1"/>
  <c r="D11" i="1"/>
  <c r="E11" i="1"/>
  <c r="F11" i="1"/>
  <c r="G11" i="1"/>
  <c r="H11" i="1"/>
  <c r="I11" i="1"/>
  <c r="U11" i="1" s="1"/>
  <c r="J11" i="1"/>
  <c r="K11" i="1"/>
  <c r="L11" i="1"/>
  <c r="M11" i="1"/>
  <c r="N11" i="1"/>
  <c r="O11" i="1"/>
  <c r="P11" i="1"/>
  <c r="Q11" i="1"/>
  <c r="R11" i="1"/>
  <c r="S11" i="1"/>
  <c r="C12" i="1"/>
  <c r="D12" i="1"/>
  <c r="E12" i="1"/>
  <c r="F12" i="1"/>
  <c r="G12" i="1"/>
  <c r="U12" i="1" s="1"/>
  <c r="H12" i="1"/>
  <c r="I12" i="1"/>
  <c r="J12" i="1"/>
  <c r="K12" i="1"/>
  <c r="L12" i="1"/>
  <c r="M12" i="1"/>
  <c r="N12" i="1"/>
  <c r="O12" i="1"/>
  <c r="P12" i="1"/>
  <c r="Q12" i="1"/>
  <c r="R12" i="1"/>
  <c r="S12" i="1"/>
  <c r="C14" i="1"/>
  <c r="U14" i="1" s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C15" i="1"/>
  <c r="U15" i="1" s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C17" i="1"/>
  <c r="U17" i="1" s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C18" i="1"/>
  <c r="U18" i="1" s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C21" i="1"/>
  <c r="U21" i="1" s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C22" i="1"/>
  <c r="U22" i="1" s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C23" i="1"/>
  <c r="U23" i="1" s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C24" i="1"/>
  <c r="U24" i="1" s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C26" i="1"/>
  <c r="U26" i="1" s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C27" i="1"/>
  <c r="U27" i="1" s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C28" i="1"/>
  <c r="U28" i="1" s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C29" i="1"/>
  <c r="U29" i="1" s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C30" i="1"/>
  <c r="U30" i="1" s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C32" i="1"/>
  <c r="U32" i="1" s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C34" i="1"/>
  <c r="U34" i="1" s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C36" i="1"/>
  <c r="U36" i="1" s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C37" i="1"/>
  <c r="U37" i="1" s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C40" i="1"/>
  <c r="U40" i="1" s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C42" i="1"/>
  <c r="U42" i="1" s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C43" i="1"/>
  <c r="U43" i="1" s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C44" i="1"/>
  <c r="U44" i="1" s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C45" i="1"/>
  <c r="U45" i="1" s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C46" i="1"/>
  <c r="U46" i="1" s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C47" i="1"/>
  <c r="U47" i="1" s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C48" i="1"/>
  <c r="U48" i="1" s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C49" i="1"/>
  <c r="U49" i="1" s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C50" i="1"/>
  <c r="U50" i="1" s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C51" i="1"/>
  <c r="U51" i="1" s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C52" i="1"/>
  <c r="U52" i="1" s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C54" i="1"/>
  <c r="U54" i="1" s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C55" i="1"/>
  <c r="U55" i="1" s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C56" i="1"/>
  <c r="U56" i="1" s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C57" i="1"/>
  <c r="U57" i="1" s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C59" i="1"/>
  <c r="U59" i="1" s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C60" i="1"/>
  <c r="U60" i="1" s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C61" i="1"/>
  <c r="U61" i="1" s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C62" i="1"/>
  <c r="U62" i="1" s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C63" i="1"/>
  <c r="U63" i="1" s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C64" i="1"/>
  <c r="U64" i="1" s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C65" i="1"/>
  <c r="U65" i="1" s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C66" i="1"/>
  <c r="U66" i="1" s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C67" i="1"/>
  <c r="U67" i="1" s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C69" i="1"/>
  <c r="U69" i="1" s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C70" i="1"/>
  <c r="U70" i="1" s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C71" i="1"/>
  <c r="U71" i="1" s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C72" i="1"/>
  <c r="U72" i="1" s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C73" i="1"/>
  <c r="U73" i="1" s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C74" i="1"/>
  <c r="U74" i="1" s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C75" i="1"/>
  <c r="U75" i="1" s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C76" i="1"/>
  <c r="U76" i="1" s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C77" i="1"/>
  <c r="U77" i="1" s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C78" i="1"/>
  <c r="U78" i="1" s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C79" i="1"/>
  <c r="U79" i="1" s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C80" i="1"/>
  <c r="U80" i="1" s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C81" i="1"/>
  <c r="U81" i="1" s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C82" i="1"/>
  <c r="U82" i="1" s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C83" i="1"/>
  <c r="U83" i="1" s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C84" i="1"/>
  <c r="U84" i="1" s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C85" i="1"/>
  <c r="U85" i="1" s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C86" i="1"/>
  <c r="U86" i="1" s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C87" i="1"/>
  <c r="U87" i="1" s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C88" i="1"/>
  <c r="U88" i="1" s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C89" i="1"/>
  <c r="U89" i="1" s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C90" i="1"/>
  <c r="U90" i="1" s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C91" i="1"/>
  <c r="U91" i="1" s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C92" i="1"/>
  <c r="U92" i="1" s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C93" i="1"/>
  <c r="U93" i="1" s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C94" i="1"/>
  <c r="U94" i="1" s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C95" i="1"/>
  <c r="U95" i="1" s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C96" i="1"/>
  <c r="U96" i="1" s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C97" i="1"/>
  <c r="U97" i="1" s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C98" i="1"/>
  <c r="U98" i="1" s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C99" i="1"/>
  <c r="U99" i="1" s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C100" i="1"/>
  <c r="U100" i="1" s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C101" i="1"/>
  <c r="U101" i="1" s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C102" i="1"/>
  <c r="U102" i="1" s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C103" i="1"/>
  <c r="U103" i="1" s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C104" i="1"/>
  <c r="U104" i="1" s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C105" i="1"/>
  <c r="U105" i="1" s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C106" i="1"/>
  <c r="U106" i="1" s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C107" i="1"/>
  <c r="U107" i="1" s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C108" i="1"/>
  <c r="U108" i="1" s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C109" i="1"/>
  <c r="U109" i="1" s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C110" i="1"/>
  <c r="U110" i="1" s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C111" i="1"/>
  <c r="U111" i="1" s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C112" i="1"/>
  <c r="U112" i="1" s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C113" i="1"/>
  <c r="U113" i="1" s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C114" i="1"/>
  <c r="U114" i="1" s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C115" i="1"/>
  <c r="U115" i="1" s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C116" i="1"/>
  <c r="U116" i="1" s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C117" i="1"/>
  <c r="U117" i="1" s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C118" i="1"/>
  <c r="U118" i="1" s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C119" i="1"/>
  <c r="U119" i="1" s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C120" i="1"/>
  <c r="U120" i="1" s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C121" i="1"/>
  <c r="U121" i="1" s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C122" i="1"/>
  <c r="U122" i="1" s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C123" i="1"/>
  <c r="U123" i="1" s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C124" i="1"/>
  <c r="U124" i="1" s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C126" i="1"/>
  <c r="U126" i="1" s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C127" i="1"/>
  <c r="U127" i="1" s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C128" i="1"/>
  <c r="U128" i="1" s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C129" i="1"/>
  <c r="U129" i="1" s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C130" i="1"/>
  <c r="U130" i="1" s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C131" i="1"/>
  <c r="U131" i="1" s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C132" i="1"/>
  <c r="U132" i="1" s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C133" i="1"/>
  <c r="U133" i="1" s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C134" i="1"/>
  <c r="U134" i="1" s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C135" i="1"/>
  <c r="U135" i="1" s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C136" i="1"/>
  <c r="U136" i="1" s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C137" i="1"/>
  <c r="U137" i="1" s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C138" i="1"/>
  <c r="U138" i="1" s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C139" i="1"/>
  <c r="U139" i="1" s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C140" i="1"/>
  <c r="U140" i="1" s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C141" i="1"/>
  <c r="U141" i="1" s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C142" i="1"/>
  <c r="U142" i="1" s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C143" i="1"/>
  <c r="U143" i="1" s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C144" i="1"/>
  <c r="U144" i="1" s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C145" i="1"/>
  <c r="U145" i="1" s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C146" i="1"/>
  <c r="U146" i="1" s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C147" i="1"/>
  <c r="U147" i="1" s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C148" i="1"/>
  <c r="U148" i="1" s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C149" i="1"/>
  <c r="U149" i="1" s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C150" i="1"/>
  <c r="U150" i="1" s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C151" i="1"/>
  <c r="U151" i="1" s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C152" i="1"/>
  <c r="U152" i="1" s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C153" i="1"/>
  <c r="U153" i="1" s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C154" i="1"/>
  <c r="U154" i="1" s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C155" i="1"/>
  <c r="U155" i="1" s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C157" i="1"/>
  <c r="U157" i="1" s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C158" i="1"/>
  <c r="U158" i="1" s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C159" i="1"/>
  <c r="U159" i="1" s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C160" i="1"/>
  <c r="U160" i="1" s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C161" i="1"/>
  <c r="U161" i="1" s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C162" i="1"/>
  <c r="U162" i="1" s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C163" i="1"/>
  <c r="U163" i="1" s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C164" i="1"/>
  <c r="U164" i="1" s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C165" i="1"/>
  <c r="U165" i="1" s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C166" i="1"/>
  <c r="U166" i="1" s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C167" i="1"/>
  <c r="U167" i="1" s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C168" i="1"/>
  <c r="U168" i="1" s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C169" i="1"/>
  <c r="U169" i="1" s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C170" i="1"/>
  <c r="U170" i="1" s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C171" i="1"/>
  <c r="U171" i="1" s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C172" i="1"/>
  <c r="U172" i="1" s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C174" i="1"/>
  <c r="U174" i="1" s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C176" i="1"/>
  <c r="U176" i="1" s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C178" i="1"/>
  <c r="U178" i="1" s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C179" i="1"/>
  <c r="U179" i="1" s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C180" i="1"/>
  <c r="U180" i="1" s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C181" i="1"/>
  <c r="U181" i="1" s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C182" i="1"/>
  <c r="U182" i="1" s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C183" i="1"/>
  <c r="U183" i="1" s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C184" i="1"/>
  <c r="U184" i="1" s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C185" i="1"/>
  <c r="U185" i="1" s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C186" i="1"/>
  <c r="U186" i="1" s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C187" i="1"/>
  <c r="U187" i="1" s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C188" i="1"/>
  <c r="U188" i="1" s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D2" i="1"/>
  <c r="C3" i="1"/>
  <c r="U3" i="1" s="1"/>
  <c r="C8" i="1"/>
  <c r="U8" i="1" s="1"/>
  <c r="C10" i="1"/>
  <c r="C13" i="1"/>
  <c r="U13" i="1" s="1"/>
  <c r="C16" i="1"/>
  <c r="C19" i="1"/>
  <c r="U19" i="1" s="1"/>
  <c r="C20" i="1"/>
  <c r="C25" i="1"/>
  <c r="U25" i="1" s="1"/>
  <c r="C31" i="1"/>
  <c r="C33" i="1"/>
  <c r="U33" i="1" s="1"/>
  <c r="C35" i="1"/>
  <c r="C38" i="1"/>
  <c r="U38" i="1" s="1"/>
  <c r="C39" i="1"/>
  <c r="C41" i="1"/>
  <c r="U41" i="1" s="1"/>
  <c r="C53" i="1"/>
  <c r="C58" i="1"/>
  <c r="U58" i="1" s="1"/>
  <c r="C68" i="1"/>
  <c r="C125" i="1"/>
  <c r="U125" i="1" s="1"/>
  <c r="C156" i="1"/>
  <c r="C173" i="1"/>
  <c r="U173" i="1" s="1"/>
  <c r="C175" i="1"/>
  <c r="C177" i="1"/>
  <c r="U177" i="1" s="1"/>
  <c r="U53" i="1" l="1"/>
  <c r="U20" i="1"/>
  <c r="U175" i="1"/>
  <c r="U39" i="1"/>
  <c r="U16" i="1"/>
  <c r="U156" i="1"/>
  <c r="U35" i="1"/>
  <c r="U10" i="1"/>
  <c r="U68" i="1"/>
  <c r="U31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</calcChain>
</file>

<file path=xl/sharedStrings.xml><?xml version="1.0" encoding="utf-8"?>
<sst xmlns="http://schemas.openxmlformats.org/spreadsheetml/2006/main" count="8382" uniqueCount="2347">
  <si>
    <t>Pfad</t>
  </si>
  <si>
    <t>Dateiname</t>
  </si>
  <si>
    <t>P:\I2535F001_KI-Explore\Bohrprotokolle_Schichtenverzeichnisse\Allmenhausen_10_1960</t>
  </si>
  <si>
    <t>1960-2850.pdf</t>
  </si>
  <si>
    <t>617195_E_Allmenhausen_10_1961_Bohrjournal.pdf</t>
  </si>
  <si>
    <t>617195_E_Allmenhausen_10_1961_Geophysik_01.TIF</t>
  </si>
  <si>
    <t>617195_E_Allmenhausen_10_1961_Geophysik_02.TIF</t>
  </si>
  <si>
    <t>617195_E_Allmenhausen_10_1961_Geophysik_03.TIF</t>
  </si>
  <si>
    <t>617195_E_Allmenhausen_10_1961_Geophysik_04.TIF</t>
  </si>
  <si>
    <t>P:\I2535F001_KI-Explore\Bohrprotokolle_Schichtenverzeichnisse\Allmenhausen_11_1960</t>
  </si>
  <si>
    <t>Allmenhausen_11_SVZ.pdf</t>
  </si>
  <si>
    <t>P:\I2535F001_KI-Explore\Bohrprotokolle_Schichtenverzeichnisse\Allmenhausen_2_1959</t>
  </si>
  <si>
    <t>1959-2690.pdf</t>
  </si>
  <si>
    <t>P:\I2535F001_KI-Explore\Bohrprotokolle_Schichtenverzeichnisse\Allmenhausen_32_1968</t>
  </si>
  <si>
    <t>Allmenhausen_32_1968_Log.pdf</t>
  </si>
  <si>
    <t>Allmenhausen_32_1968_SVZ.pdf</t>
  </si>
  <si>
    <t>P:\I2535F001_KI-Explore\Bohrprotokolle_Schichtenverzeichnisse\Allmenhausen_33_1968</t>
  </si>
  <si>
    <t>1968-2913.pdf</t>
  </si>
  <si>
    <t>Allmenhausen_33_168_Log.pdf</t>
  </si>
  <si>
    <t>Allmenhausen_33_168_SVZ.pdf</t>
  </si>
  <si>
    <t>P:\I2535F001_KI-Explore\Bohrprotokolle_Schichtenverzeichnisse\Allmenhausen_34_1969</t>
  </si>
  <si>
    <t>1969-2878.pdf</t>
  </si>
  <si>
    <t>Allmenhausen_34_1969_Log.pdf</t>
  </si>
  <si>
    <t>Allmenhausen_34_1969_SVZ.pdf</t>
  </si>
  <si>
    <t>P:\I2535F001_KI-Explore\Bohrprotokolle_Schichtenverzeichnisse\Allmenhausen_35_1969</t>
  </si>
  <si>
    <t>Allmenhausen35.sdg</t>
  </si>
  <si>
    <t>Allmenhausen_35_1969.xlsx</t>
  </si>
  <si>
    <t>Allmenhausen_35_1969_SVZ.pdf</t>
  </si>
  <si>
    <t>P:\I2535F001_KI-Explore\Bohrprotokolle_Schichtenverzeichnisse\Allmenhausen_35_1969\617204_E_Allmenhausen_35_1969</t>
  </si>
  <si>
    <t>617204_E Allmenhausen 35_1969_REPORT_KORR.docx</t>
  </si>
  <si>
    <t>617204_E_Allmenhausen_35_1969_Composite_KORR.las</t>
  </si>
  <si>
    <t>617204_E_Allmenhausen_35_1969_Edit_KORR_1-1000.tif</t>
  </si>
  <si>
    <t>Thumbs.db</t>
  </si>
  <si>
    <t>P:\I2535F001_KI-Explore\Bohrprotokolle_Schichtenverzeichnisse\Allmenhausen_35_1969\617204_E_Allmenhausen_35_1969\Rohdaten</t>
  </si>
  <si>
    <t>617204_E_Allmenhausen_35_1969_02.las</t>
  </si>
  <si>
    <t>P:\I2535F001_KI-Explore\Bohrprotokolle_Schichtenverzeichnisse\Allmenhausen_4_1959</t>
  </si>
  <si>
    <t>1960-2847.pdf</t>
  </si>
  <si>
    <t>P:\I2535F001_KI-Explore\Bohrprotokolle_Schichtenverzeichnisse\Allmenhausen_5_1962</t>
  </si>
  <si>
    <t>.Rhistory</t>
  </si>
  <si>
    <t>1961-2866.pdf</t>
  </si>
  <si>
    <t>617598_E_Allmenhausen_05_1962_01.LAS</t>
  </si>
  <si>
    <t>617598_E_Allmenhausen_5_1962_Bohrjournal.pdf</t>
  </si>
  <si>
    <t>617598_E_Allmenhausen_5_1962_Bohrjournal_Anlagen.pdf</t>
  </si>
  <si>
    <t>617598_E_Allmenhausen_5_1962_Geophysik.pdf</t>
  </si>
  <si>
    <t>Allmenhausen5.sdg</t>
  </si>
  <si>
    <t>Allmenhausen_5_1962.xlsx</t>
  </si>
  <si>
    <t>P:\I2535F001_KI-Explore\Bohrprotokolle_Schichtenverzeichnisse\Allmenhausen_6_1960</t>
  </si>
  <si>
    <t>1960-2848.pdf</t>
  </si>
  <si>
    <t>P:\I2535F001_KI-Explore\Bohrprotokolle_Schichtenverzeichnisse\Allmenhausen_8_1960</t>
  </si>
  <si>
    <t>1960-2849.pdf</t>
  </si>
  <si>
    <t>P:\I2535F001_KI-Explore\Bohrprotokolle_Schichtenverzeichnisse\Altengottern_102E_1958</t>
  </si>
  <si>
    <t>617519_E_Altengottern_102E_1958_01.LAS</t>
  </si>
  <si>
    <t>617519_E_Altengottern_102E_1958_02.LAS</t>
  </si>
  <si>
    <t>Altengottern102E.sdg</t>
  </si>
  <si>
    <t>Altengottern_102E_1958.xlsx</t>
  </si>
  <si>
    <t>P:\I2535F001_KI-Explore\Bohrprotokolle_Schichtenverzeichnisse\Altengottern_1_1958</t>
  </si>
  <si>
    <t>1957-2436-Anlage-1.pdf</t>
  </si>
  <si>
    <t>1957-2436.pdf</t>
  </si>
  <si>
    <t>617466_E_Altengottern 1_1958_Geophysik_01.TIF</t>
  </si>
  <si>
    <t>617466_E_Altengottern 1_1958_Geophysik_02.TIF</t>
  </si>
  <si>
    <t>617466_E_Altengottern 1_1958_Geophysik_03.TIF</t>
  </si>
  <si>
    <t>617466_E_Altengottern 1_1958_Geophysik_04.TIF</t>
  </si>
  <si>
    <t>617466_E_Altengottern 1_1958_Geophysik_05.TIF</t>
  </si>
  <si>
    <t>617466_E_Altengottern 1_1958_Geophysik_06.TIF</t>
  </si>
  <si>
    <t>617466_E_Altengottern 1_1958_Geophysik_07.TIF</t>
  </si>
  <si>
    <t>Altengottern_1_1958_SVZ.pdf</t>
  </si>
  <si>
    <t>P:\I2535F001_KI-Explore\Bohrprotokolle_Schichtenverzeichnisse\Altengottern_2_1965</t>
  </si>
  <si>
    <t>617414_E_Altengottern_2_1965_01.LAS</t>
  </si>
  <si>
    <t>Altengottern2.sdg</t>
  </si>
  <si>
    <t>Altengottern_2_1965.xlsx</t>
  </si>
  <si>
    <t>P:\I2535F001_KI-Explore\Bohrprotokolle_Schichtenverzeichnisse\Altengottern_3_1987</t>
  </si>
  <si>
    <t>210706_IAB.mdb</t>
  </si>
  <si>
    <t>210719_Bohrungen_Datenanfrage_IAB.xlsx</t>
  </si>
  <si>
    <t>210719_Datenanfrage_IAB_Zimmermann.xlsx</t>
  </si>
  <si>
    <t>P:\I2535F001_KI-Explore\Bohrprotokolle_Schichtenverzeichnisse\Altengottern_3_1987\Well_data</t>
  </si>
  <si>
    <t>1988-2047-Anlage-1.pdf</t>
  </si>
  <si>
    <t>1988-2047-Anlage-2.pdf</t>
  </si>
  <si>
    <t>1988-2047-Anlage-3.pdf</t>
  </si>
  <si>
    <t>1988-2047-Anlage-4.pdf</t>
  </si>
  <si>
    <t>1988-2047-Anlage-5.pdf</t>
  </si>
  <si>
    <t>1988-2047-Anlage-6.pdf</t>
  </si>
  <si>
    <t>1988-2047-Anlage-7.pdf</t>
  </si>
  <si>
    <t>1988-2047-Anlage-8.pdf</t>
  </si>
  <si>
    <t>1988-2047.pdf</t>
  </si>
  <si>
    <t>617533_Dp_Altengottern_3_1987_01.LAS</t>
  </si>
  <si>
    <t>617533_Dp_Altengottern_3_1987_02.LAS</t>
  </si>
  <si>
    <t>Altengottern3_87.xlsx</t>
  </si>
  <si>
    <t>Altengottern_3_1987_SVZ1.pdf</t>
  </si>
  <si>
    <t>Altengottern_3_1987_SVZ2.pdf</t>
  </si>
  <si>
    <t>Altengottern_3_1987_SVZ3.pdf</t>
  </si>
  <si>
    <t>P:\I2535F001_KI-Explore\Bohrprotokolle_Schichtenverzeichnisse\Altengottern_3_1987\Well_documentation</t>
  </si>
  <si>
    <t>Altengottern_3_1987.sdg</t>
  </si>
  <si>
    <t>Dp Altengottern 3_1987.XML</t>
  </si>
  <si>
    <t>P:\I2535F001_KI-Explore\Bohrprotokolle_Schichtenverzeichnisse\Apolda_1_1965</t>
  </si>
  <si>
    <t>639082_Kb_Apolda_1_1965_01.LAS</t>
  </si>
  <si>
    <t>639082_Kb_Apolda_1_1965_02.LAS</t>
  </si>
  <si>
    <t>Apolda1.sdg</t>
  </si>
  <si>
    <t>Apolda_1_1965.xlsx</t>
  </si>
  <si>
    <t>P:\I2535F001_KI-Explore\Bohrprotokolle_Schichtenverzeichnisse\Auma_1_1961</t>
  </si>
  <si>
    <t>109869_Kb_Auma_1_1961_01.LAS</t>
  </si>
  <si>
    <t>109869_Kb_Auma_1_1961_02.LAS</t>
  </si>
  <si>
    <t>Auma1.sdg</t>
  </si>
  <si>
    <t>Auma_1_1961.xlsx</t>
  </si>
  <si>
    <t>P:\I2535F001_KI-Explore\Bohrprotokolle_Schichtenverzeichnisse\Bad_Colberg_1_1974</t>
  </si>
  <si>
    <t>121632_Hy_Bad_Colberg_1_1974_01.LAS</t>
  </si>
  <si>
    <t>121632_Hy_Bad_Colberg_1_1974_02.LAS</t>
  </si>
  <si>
    <t>121632_Hy_Bad_Colberg_1_1974_03.LAS</t>
  </si>
  <si>
    <t>121861_Hy_Bad_Colberg_1_1994_SV.pdf</t>
  </si>
  <si>
    <t>BadColberg1.sdg</t>
  </si>
  <si>
    <t>BadColberg_1_1974.xlsx</t>
  </si>
  <si>
    <t>Bad_Colberg_1_1974_SVZ.pdf</t>
  </si>
  <si>
    <t>Bad_Colberg_1_1974_SVZ1.pdf</t>
  </si>
  <si>
    <t>P:\I2535F001_KI-Explore\Bohrprotokolle_Schichtenverzeichnisse\Ballstedt_1_1963\Well_data</t>
  </si>
  <si>
    <t>620675_Kal Ballstedt 1-1963_KK102-107_563,5-578,9m.JPG</t>
  </si>
  <si>
    <t>620675_Kal Ballstedt 1-1963_KK108-112_571,8-592,8m.JPG</t>
  </si>
  <si>
    <t>620675_Kal Ballstedt 1-1963_KK113-117_585,7-598,3m.JPG</t>
  </si>
  <si>
    <t>620675_Kal Ballstedt 1-1963_KK115-119_592,8-598,3m.JPG</t>
  </si>
  <si>
    <t>620675_Kal Ballstedt 1-1963_KK120-124_598,3-605,1m.JPG</t>
  </si>
  <si>
    <t>620675_Kal Ballstedt 1-1963_KK125-129_605,1-613,2m.JPG</t>
  </si>
  <si>
    <t>620675_Kal Ballstedt 1-1963_KK130-134_609,8-620,2m.JPG</t>
  </si>
  <si>
    <t>620675_Kal Ballstedt 1-1963_KK135-139_613,2-625,7m.JPG</t>
  </si>
  <si>
    <t>620675_Kal Ballstedt 1-1963_KK140-144_625,7-631,3m.JPG</t>
  </si>
  <si>
    <t>620675_Kal Ballstedt 1-1963_KK145-149_629,2-636,6m.JPG</t>
  </si>
  <si>
    <t>620675_Kal Ballstedt 1-1963_KK150-154_636,6-643,2m.JPG</t>
  </si>
  <si>
    <t>620675_Kal Ballstedt 1-1963_KK155-158_640,4-646,5m.JPG</t>
  </si>
  <si>
    <t>620675_Kal Ballstedt 1-1963_KK157-161_643,2-652,9m.JPG</t>
  </si>
  <si>
    <t>620675_Kal Ballstedt 1-1963_KK162-166_646,5-657,2m.JPG</t>
  </si>
  <si>
    <t>620675_Kal Ballstedt 1-1963_KK167-171_657,2-662,6m.JPG</t>
  </si>
  <si>
    <t>620675_Kal Ballstedt 1-1963_KK172-176_662,6-669,1m.JPG</t>
  </si>
  <si>
    <t>620675_Kal Ballstedt 1-1963_KK177-181_665,3-675,9m.JPG</t>
  </si>
  <si>
    <t>620675_Kal Ballstedt 1-1963_KK182-186_672,5-679,3m.JPG</t>
  </si>
  <si>
    <t>620675_Kal Ballstedt 1-1963_KK187-191_675,9-686,3m.JPG</t>
  </si>
  <si>
    <t>620675_Kal Ballstedt 1-1963_KK192-196_682,7-693,6m.JPG</t>
  </si>
  <si>
    <t>620675_Kal Ballstedt 1-1963_KK197-201_689,2-698,8m.JPG</t>
  </si>
  <si>
    <t>620675_Kal Ballstedt 1-1963_KK199-203_689,2-702,5m.JPG</t>
  </si>
  <si>
    <t>620675_Kal Ballstedt 1-1963_KK204-209_698,8-708,1m.JPG</t>
  </si>
  <si>
    <t>620675_Kal Ballstedt 1-1963_KK209-213_705,6-713,6m.JPG</t>
  </si>
  <si>
    <t>620675_Kal Ballstedt 1-1963_KK214-218_709,6-720,2m.JPG</t>
  </si>
  <si>
    <t>620675_Kal Ballstedt 1-1963_KK219-223_716-727,4m.JPG</t>
  </si>
  <si>
    <t>620675_Kal Ballstedt 1-1963_KK224-228_724-731,7m.JPG</t>
  </si>
  <si>
    <t>620675_Kal Ballstedt 1-1963_KK229-233_731,7-740,3m.JPG</t>
  </si>
  <si>
    <t>620675_Kal Ballstedt 1-1963_KK234-238_736-744,3m.JPG</t>
  </si>
  <si>
    <t>620675_Kal Ballstedt 1-1963_KK239-243_740,3-748,7m.JPG</t>
  </si>
  <si>
    <t>620675_Kal Ballstedt 1-1963_KK241-245_744,3-753,1m.JPG</t>
  </si>
  <si>
    <t>620675_Kal Ballstedt 1-1963_KK246-250_748,7-757,8m.JPG</t>
  </si>
  <si>
    <t>620675_Kal Ballstedt 1-1963_KK25-30_495,6-499,6m.JPG</t>
  </si>
  <si>
    <t>620675_Kal Ballstedt 1-1963_KK251-255_753,1-762,4m.JPG</t>
  </si>
  <si>
    <t>620675_Kal Ballstedt 1-1963_KK256-260_762,4-773,5m.JPG</t>
  </si>
  <si>
    <t>620675_Kal Ballstedt 1-1963_KK261-265_768,7-777,3m.JPG</t>
  </si>
  <si>
    <t>620675_Kal Ballstedt 1-1963_KK266-270_777,3-785,8m.JPG</t>
  </si>
  <si>
    <t>620675_Kal Ballstedt 1-1963_KK271-275_781,1-791,7m.JPG</t>
  </si>
  <si>
    <t>620675_Kal Ballstedt 1-1963_KK276-280_785,8-796,1m.JPG</t>
  </si>
  <si>
    <t>620675_Kal Ballstedt 1-1963_KK281-285_791,7-799,5m.JPG</t>
  </si>
  <si>
    <t>620675_Kal Ballstedt 1-1963_KK282-287_791,7-799,5m.JPG</t>
  </si>
  <si>
    <t>620675_Kal Ballstedt 1-1963_KK288-292_799,5-810,4m.JPG</t>
  </si>
  <si>
    <t>620675_Kal Ballstedt 1-1963_KK293-297_806,4-810,4m.JPG</t>
  </si>
  <si>
    <t>620675_Kal Ballstedt 1-1963_KK298-302_810,4-817,9m.JPG</t>
  </si>
  <si>
    <t>620675_Kal Ballstedt 1-1963_KK303-307_814,1-820,6m.JPG</t>
  </si>
  <si>
    <t>620675_Kal Ballstedt 1-1963_KK308-312_817,9-823,7m.JPG</t>
  </si>
  <si>
    <t>620675_Kal Ballstedt 1-1963_KK31-36_499,6-504,2m.JPG</t>
  </si>
  <si>
    <t>620675_Kal Ballstedt 1-1963_KK313-317_823,7-827,3m.JPG</t>
  </si>
  <si>
    <t>620675_Kal Ballstedt 1-1963_KK318-322_827,3-837,4m.JPG</t>
  </si>
  <si>
    <t>620675_Kal Ballstedt 1-1963_KK323-327_834-844,1m.JPG</t>
  </si>
  <si>
    <t>620675_Kal Ballstedt 1-1963_KK325-329_837,4-844,1m.JPG</t>
  </si>
  <si>
    <t>620675_Kal Ballstedt 1-1963_KK330-334_837,4-850,8m.JPG</t>
  </si>
  <si>
    <t>620675_Kal Ballstedt 1-1963_KK335-339_844,1-853,7m.JPG</t>
  </si>
  <si>
    <t>620675_Kal Ballstedt 1-1963_KK340-344_850,8-859,9m.JPG</t>
  </si>
  <si>
    <t>620675_Kal Ballstedt 1-1963_KK345-349_859,9-861,3m.JPG</t>
  </si>
  <si>
    <t>620675_Kal Ballstedt 1-1963_KK350-354_861,3-868,1m.JPG</t>
  </si>
  <si>
    <t>620675_Kal Ballstedt 1-1963_KK355-359_864,5-871,2m.JPG</t>
  </si>
  <si>
    <t>620675_Kal Ballstedt 1-1963_KK360-364_868,1-874,5m.JPG</t>
  </si>
  <si>
    <t>620675_Kal Ballstedt 1-1963_KK365-369_871,2-879,6m.JPG</t>
  </si>
  <si>
    <t>620675_Kal Ballstedt 1-1963_KK367-371_874,5-882,3m.JPG</t>
  </si>
  <si>
    <t>620675_Kal Ballstedt 1-1963_KK37-42_504,2-509,5m.JPG</t>
  </si>
  <si>
    <t>620675_Kal Ballstedt 1-1963_KK372-376_879,6-887,2m.JPG</t>
  </si>
  <si>
    <t>620675_Kal Ballstedt 1-1963_KK377-381_882,3-891m.JPG</t>
  </si>
  <si>
    <t>620675_Kal Ballstedt 1-1963_KK382-386_891-893,2m.JPG</t>
  </si>
  <si>
    <t>620675_Kal Ballstedt 1-1963_KK387-391_893,2-898,2m.JPG</t>
  </si>
  <si>
    <t>620675_Kal Ballstedt 1-1963_KK398-402_901,7-909,1m.JPG</t>
  </si>
  <si>
    <t>620675_Kal Ballstedt 1-1963_KK403-406_905,2-913,6m.JPG</t>
  </si>
  <si>
    <t>620675_Kal Ballstedt 1-1963_KK407-411_909,1-920,9m.JPG</t>
  </si>
  <si>
    <t>620675_Kal Ballstedt 1-1963_KK409-413_909,1-920,9m.JPG</t>
  </si>
  <si>
    <t>620675_Kal Ballstedt 1-1963_KK414-418_914,2-926,1m.JPG</t>
  </si>
  <si>
    <t>620675_Kal Ballstedt 1-1963_KK419-423_920,9-932m.JPG</t>
  </si>
  <si>
    <t>620675_Kal Ballstedt 1-1963_KK425-429_926,1-936,5m.JPG</t>
  </si>
  <si>
    <t>620675_Kal Ballstedt 1-1963_KK43-47_509,5-513,8m.JPG</t>
  </si>
  <si>
    <t>620675_Kal Ballstedt 1-1963_KK430-434_932-941,1m.JPG</t>
  </si>
  <si>
    <t>620675_Kal Ballstedt 1-1963_KK435-439_936,5-945,8m.JPG</t>
  </si>
  <si>
    <t>620675_Kal Ballstedt 1-1963_KK440-444_945,8-952,3m.JPG</t>
  </si>
  <si>
    <t>620675_Kal Ballstedt 1-1963_KK445-449_947,5-958m.JPG</t>
  </si>
  <si>
    <t>620675_Kal Ballstedt 1-1963_KK450-454_952,3-958m.JPG</t>
  </si>
  <si>
    <t>620675_Kal Ballstedt 1-1963_KK452-456_952,3-962,8m.JPG</t>
  </si>
  <si>
    <t>620675_Kal Ballstedt 1-1963_KK457-461_958-971,1m.JPG</t>
  </si>
  <si>
    <t>620675_Kal Ballstedt 1-1963_KK462-466_962,8-971,1m.JPG</t>
  </si>
  <si>
    <t>620675_Kal Ballstedt 1-1963_KK467-471_962,8-974,1m.JPG</t>
  </si>
  <si>
    <t>620675_Kal Ballstedt 1-1963_KK472-476_971,1-979,7m.JPG</t>
  </si>
  <si>
    <t>620675_Kal Ballstedt 1-1963_KK477-481_974,1-986,4m.JPG</t>
  </si>
  <si>
    <t>620675_Kal Ballstedt 1-1963_KK48-53_512,6-516,9m.JPG</t>
  </si>
  <si>
    <t>620675_Kal Ballstedt 1-1963_KK482-486_979,7-993m.JPG</t>
  </si>
  <si>
    <t>620675_Kal Ballstedt 1-1963_KK488-492_986,4-993m.JPG</t>
  </si>
  <si>
    <t>620675_Kal Ballstedt 1-1963_KK495-499_993-1000m.JPG</t>
  </si>
  <si>
    <t>620675_Kal Ballstedt 1-1963_KK500-504_1000-1006m.JPG</t>
  </si>
  <si>
    <t>620675_Kal Ballstedt 1-1963_KK505-509_1000,5-1011,4m.JPG</t>
  </si>
  <si>
    <t>620675_Kal Ballstedt 1-1963_KK510-514_1006-1015,8m.JPG</t>
  </si>
  <si>
    <t>620675_Kal Ballstedt 1-1963_KK515-519_1011,4-1021,5m.JPG</t>
  </si>
  <si>
    <t>620675_Kal Ballstedt 1-1963_KK520-524_1015,8-1027m.JPG</t>
  </si>
  <si>
    <t>620675_Kal Ballstedt 1-1963_KK525-529_1021,5-1037,2m.JPG</t>
  </si>
  <si>
    <t>620675_Kal Ballstedt 1-1963_KK528-532_1027-1037,2m.JPG</t>
  </si>
  <si>
    <t>620675_Kal Ballstedt 1-1963_KK533-536_1035,2-1046,1m.JPG</t>
  </si>
  <si>
    <t>620675_Kal Ballstedt 1-1963_KK535-538_1037,2-1046,1m.JPG</t>
  </si>
  <si>
    <t>620675_Kal Ballstedt 1-1963_KK539-543_1037,2-1053,6m.JPG</t>
  </si>
  <si>
    <t>620675_Kal Ballstedt 1-1963_KK54-59_516,9-522,6m.JPG</t>
  </si>
  <si>
    <t>620675_Kal Ballstedt 1-1963_KK544-548_1046,1-1053,6m.JPG</t>
  </si>
  <si>
    <t>620675_Kal Ballstedt 1-1963_KK549-553_1053,6-1058,1m.JPG</t>
  </si>
  <si>
    <t>620675_Kal Ballstedt 1-1963_KK559-563_1058,1-1068,4m.JPG</t>
  </si>
  <si>
    <t>620675_Kal Ballstedt 1-1963_KK564-567_1062,3-1074,1m.JPG</t>
  </si>
  <si>
    <t>620675_Kal Ballstedt 1-1963_KK566-569_1068,4-1074,1m.JPG</t>
  </si>
  <si>
    <t>620675_Kal Ballstedt 1-1963_KK570-575_1068,4-1079,1m.JPG</t>
  </si>
  <si>
    <t>620675_Kal Ballstedt 1-1963_KK60-65_522,6-527,5m.JPG</t>
  </si>
  <si>
    <t>620675_Kal Ballstedt 1-1963_KK633-636_1143,9-1148,9m.JPG</t>
  </si>
  <si>
    <t>620675_Kal Ballstedt 1-1963_KK637-640_1143,9-1148,9m.JPG</t>
  </si>
  <si>
    <t>620675_Kal Ballstedt 1-1963_KK641-644_1148,9-1153,7m.JPG</t>
  </si>
  <si>
    <t>620675_Kal Ballstedt 1-1963_KK645-648_1151,6-1155,4m.JPG</t>
  </si>
  <si>
    <t>620675_Kal Ballstedt 1-1963_KK647-650_1153,7-1159,4m.JPG</t>
  </si>
  <si>
    <t>620675_Kal Ballstedt 1-1963_KK651-655_1155,4-1164,8m.JPG</t>
  </si>
  <si>
    <t>620675_Kal Ballstedt 1-1963_KK652-656_1155,4-1164,8m.JPG</t>
  </si>
  <si>
    <t>620675_Kal Ballstedt 1-1963_KK657-658_1159,4-1164,8m &amp; KK670-672_1215,7-1223m.JPG</t>
  </si>
  <si>
    <t>620675_Kal Ballstedt 1-1963_KK66-71_525,8-532,7m.JPG</t>
  </si>
  <si>
    <t>620675_Kal Ballstedt 1-1963_KK672-676_1215,7-1223m.JPG</t>
  </si>
  <si>
    <t>620675_Kal Ballstedt 1-1963_KK676-679_1215,7-1230,5m.JPG</t>
  </si>
  <si>
    <t>620675_Kal Ballstedt 1-1963_KK680-683_1223-1230,5m.JPG</t>
  </si>
  <si>
    <t>620675_Kal Ballstedt 1-1963_KK684-687_1230,5-1235,6m.JPG</t>
  </si>
  <si>
    <t>620675_Kal Ballstedt 1-1963_KK688-691_1230,5-1240,5m.JPG</t>
  </si>
  <si>
    <t>620675_Kal Ballstedt 1-1963_KK692-696_1235,6-1244,6m.JPG</t>
  </si>
  <si>
    <t>620675_Kal Ballstedt 1-1963_KK693-697_1240,5-1244,6m.JPG</t>
  </si>
  <si>
    <t>620675_Kal Ballstedt 1-1963_KK698-702_1240,5-1247,2m.JPG</t>
  </si>
  <si>
    <t>620675_Kal Ballstedt 1-1963_KK698-702_1240,5-1247,2m_feucht.JPG</t>
  </si>
  <si>
    <t>620675_Kal Ballstedt 1-1963_KK703-707_1244,6-1255m.JPG</t>
  </si>
  <si>
    <t>620675_Kal Ballstedt 1-1963_KK703-707_1244,6-1255m_feucht.JPG</t>
  </si>
  <si>
    <t>620675_Kal Ballstedt 1-1963_KK708-712_1250,8-1259,4m.JPG</t>
  </si>
  <si>
    <t>620675_Kal Ballstedt 1-1963_KK708-712_1250,8-1259,4m_feucht.JPG</t>
  </si>
  <si>
    <t>620675_Kal Ballstedt 1-1963_KK713-717_1255-1259,4m.JPG</t>
  </si>
  <si>
    <t>620675_Kal Ballstedt 1-1963_KK713-717_1255-1259,4m_feucht.JPG</t>
  </si>
  <si>
    <t>620675_Kal Ballstedt 1-1963_KK717-721_1255-1264,6m.JPG</t>
  </si>
  <si>
    <t>620675_Kal Ballstedt 1-1963_KK72-77_531,2-537m.JPG</t>
  </si>
  <si>
    <t>620675_Kal Ballstedt 1-1963_KK722-726_1261,8-1267m.JPG</t>
  </si>
  <si>
    <t>620675_Kal Ballstedt 1-1963_KK723-727_1261,8-1272,8m.JPG</t>
  </si>
  <si>
    <t>620675_Kal Ballstedt 1-1963_KK728-732_1267-1278,6m.JPG</t>
  </si>
  <si>
    <t>620675_Kal Ballstedt 1-1963_KK738-742_1272,8-1286m.JPG</t>
  </si>
  <si>
    <t>620675_Kal Ballstedt 1-1963_KK743-747_1278,6-1291,7m.JPG</t>
  </si>
  <si>
    <t>620675_Kal Ballstedt 1-1963_KK748-751_1286-1291,7m.JPG</t>
  </si>
  <si>
    <t>620675_Kal Ballstedt 1-1963_KK752-756_1291,7-1297m.JPG</t>
  </si>
  <si>
    <t>620675_Kal Ballstedt 1-1963_KK753-757_1291,7-1297m.JPG</t>
  </si>
  <si>
    <t>620675_Kal Ballstedt 1-1963_KK758-762_1291,7-1302,8m.JPG</t>
  </si>
  <si>
    <t>620675_Kal Ballstedt 1-1963_KK763-767_1297-1306,8m.JPG</t>
  </si>
  <si>
    <t>620675_Kal Ballstedt 1-1963_KK768-772_1302,8-1312,7m.JPG</t>
  </si>
  <si>
    <t>620675_Kal Ballstedt 1-1963_KK773-777_1306,8-1317,8m.JPG</t>
  </si>
  <si>
    <t>620675_Kal Ballstedt 1-1963_KK778-781_1312,7-1317,8m.JPG</t>
  </si>
  <si>
    <t>620675_Kal Ballstedt 1-1963_KK78-83_537-545,6m.JPG</t>
  </si>
  <si>
    <t>620675_Kal Ballstedt 1-1963_KK782-786_1312,7-1324,1m.JPG</t>
  </si>
  <si>
    <t>620675_Kal Ballstedt 1-1963_KK783-787_1317,8-1324,1m.JPG</t>
  </si>
  <si>
    <t>620675_Kal Ballstedt 1-1963_KK788-792_1317,8-1331,2m.JPG</t>
  </si>
  <si>
    <t>620675_Kal Ballstedt 1-1963_KK793-797_1324,1-1337,3m.JPG</t>
  </si>
  <si>
    <t>620675_Kal Ballstedt 1-1963_KK798-802_1331,2-1337,3m.JPG</t>
  </si>
  <si>
    <t>620675_Kal Ballstedt 1-1963_KK803-807_1337,3-1344,9m.JPG</t>
  </si>
  <si>
    <t>620675_Kal Ballstedt 1-1963_KK808-811_1337,3-1352,4m.JPG</t>
  </si>
  <si>
    <t>620675_Kal Ballstedt 1-1963_KK812-816_1344,9-1352,4m.JPG</t>
  </si>
  <si>
    <t>620675_Kal Ballstedt 1-1963_KK813-817_1344,9-1352,4m.JPG</t>
  </si>
  <si>
    <t>620675_Kal Ballstedt 1-1963_KK818-822_1344,9-1359,9m.JPG</t>
  </si>
  <si>
    <t>620675_Kal Ballstedt 1-1963_KK823-827_1352,4-1366,5m.JPG</t>
  </si>
  <si>
    <t>620675_Kal Ballstedt 1-1963_KK828-832_1359,9-1366,5m.JPG</t>
  </si>
  <si>
    <t>620675_Kal Ballstedt 1-1963_KK833-837_1366,5-1381,3m.JPG</t>
  </si>
  <si>
    <t>620675_Kal Ballstedt 1-1963_KK838-842_1371,3-1381,3m.JPG</t>
  </si>
  <si>
    <t>620675_Kal Ballstedt 1-1963_KK84-89_543,4-550,3m.JPG</t>
  </si>
  <si>
    <t>620675_Kal Ballstedt 1-1963_KK843-847_1371,3-1392m.JPG</t>
  </si>
  <si>
    <t>620675_Kal Ballstedt 1-1963_KK845-849_1371,3-1392m.JPG</t>
  </si>
  <si>
    <t>620675_Kal Ballstedt 1-1963_KK850-854_1381,3-1392m.JPG</t>
  </si>
  <si>
    <t>620675_Kal Ballstedt 1-1963_KK852-856_1381,3-1392m.JPG</t>
  </si>
  <si>
    <t>620675_Kal Ballstedt 1-1963_KK857-861_1392-1402,6m.JPG</t>
  </si>
  <si>
    <t>620675_Kal Ballstedt 1-1963_KK862-866_1402,6-1427,2m.JPG</t>
  </si>
  <si>
    <t>620675_Kal Ballstedt 1-1963_KK867-871_1416,4-1427,2m.JPG</t>
  </si>
  <si>
    <t>620675_Kal Ballstedt 1-1963_KK872-876_1416,4-1436,8m.JPG</t>
  </si>
  <si>
    <t>620675_Kal Ballstedt 1-1963_KK877, 888-891_1427,2-1436,8m.JPG</t>
  </si>
  <si>
    <t>620675_Kal Ballstedt 1-1963_KK897-901_1436,8-1443,7m.JPG</t>
  </si>
  <si>
    <t>620675_Kal Ballstedt 1-1963_KK90-95_550,3-556,2m.JPG</t>
  </si>
  <si>
    <t>620675_Kal Ballstedt 1-1963_KK902-906_1436,8-1452m.JPG</t>
  </si>
  <si>
    <t>620675_Kal Ballstedt 1-1963_KK903-908_1443,7-1452m.JPG</t>
  </si>
  <si>
    <t>620675_Kal Ballstedt 1-1963_KK909-913_1443,7-1458,7m.JPG</t>
  </si>
  <si>
    <t>620675_Kal Ballstedt 1-1963_KK914-918_1452-1464,2m.JPG</t>
  </si>
  <si>
    <t>620675_Kal Ballstedt 1-1963_KK919-923_1458,7-1467,5m.JPG</t>
  </si>
  <si>
    <t>620675_Kal Ballstedt 1-1963_KK924-928_1467,5-1477,1m.JPG</t>
  </si>
  <si>
    <t>620675_Kal Ballstedt 1-1963_KK929-933_1471,9-1480,3m.JPG</t>
  </si>
  <si>
    <t>620675_Kal Ballstedt 1-1963_KK934-938_1477,1-1485,6m.JPG</t>
  </si>
  <si>
    <t>620675_Kal Ballstedt 1-1963_KK944-948_1485,6-1493,1m.JPG</t>
  </si>
  <si>
    <t>620675_Kal Ballstedt 1-1963_KK949-953_1497,2-1500,3m.JPG</t>
  </si>
  <si>
    <t>620675_Kal Ballstedt 1-1963_KK96-101_553-563,5m.JPG</t>
  </si>
  <si>
    <t>620675_Kal_Ballstedt_1_1973_BLM.pdf</t>
  </si>
  <si>
    <t>620675_Kal_Ballstedt_1_1973_Bohrjournal_01.pdf</t>
  </si>
  <si>
    <t>620675_Kal_Ballstedt_1_1973_Bohrjournal_02.pdf</t>
  </si>
  <si>
    <t>620675_Kal_Ballstedt_1_1973_Bohrjournal_02_Anlagen.pdf</t>
  </si>
  <si>
    <t>Bls1_63.xlsx</t>
  </si>
  <si>
    <t>P:\I2535F001_KI-Explore\Bohrprotokolle_Schichtenverzeichnisse\Ballstedt_1_1963\Well_documentation</t>
  </si>
  <si>
    <t>Ballstedt_1_1963.sdg</t>
  </si>
  <si>
    <t>P:\I2535F001_KI-Explore\Bohrprotokolle_Schichtenverzeichnisse\Ballstedt_1_1963\Well_documentation\Profil_Kunkel2016</t>
  </si>
  <si>
    <t>Ball_1_1963.png</t>
  </si>
  <si>
    <t>Bls_01.png</t>
  </si>
  <si>
    <t>Bls_02.png</t>
  </si>
  <si>
    <t>Bls_03.png</t>
  </si>
  <si>
    <t>Bls_04.png</t>
  </si>
  <si>
    <t>Bls_05.png</t>
  </si>
  <si>
    <t>Bls_06.png</t>
  </si>
  <si>
    <t>Bls_07.png</t>
  </si>
  <si>
    <t>Bls_08.png</t>
  </si>
  <si>
    <t>Bls_09.png</t>
  </si>
  <si>
    <t>Bls_10.png</t>
  </si>
  <si>
    <t>Bls_11.png</t>
  </si>
  <si>
    <t>Bls_12.png</t>
  </si>
  <si>
    <t>Bls_13.png</t>
  </si>
  <si>
    <t>Bls_14.png</t>
  </si>
  <si>
    <t>Bls_15.png</t>
  </si>
  <si>
    <t>Bls_16.png</t>
  </si>
  <si>
    <t>Bls_17.png</t>
  </si>
  <si>
    <t>Bls_18.png</t>
  </si>
  <si>
    <t>Bls_19.png</t>
  </si>
  <si>
    <t>Bls_20.png</t>
  </si>
  <si>
    <t>Bls_21.png</t>
  </si>
  <si>
    <t>Bls_22.png</t>
  </si>
  <si>
    <t>Bls_23.png</t>
  </si>
  <si>
    <t>P:\I2535F001_KI-Explore\Bohrprotokolle_Schichtenverzeichnisse\Behringen_10_1964</t>
  </si>
  <si>
    <t>Behringen_10_1964_Log.pdf</t>
  </si>
  <si>
    <t>Behringen_10_1964_SVZ.pdf</t>
  </si>
  <si>
    <t>P:\I2535F001_KI-Explore\Bohrprotokolle_Schichtenverzeichnisse\Behringen_11_1964</t>
  </si>
  <si>
    <t>Behringen_11_1964_Log.pdf</t>
  </si>
  <si>
    <t>Behringen_11_1964_SVZ.pdf</t>
  </si>
  <si>
    <t>P:\I2535F001_KI-Explore\Bohrprotokolle_Schichtenverzeichnisse\Behringen_12_1964</t>
  </si>
  <si>
    <t>Behringen_12_1964_Log.pdf</t>
  </si>
  <si>
    <t>Behringen_12_1964_SVZ.pdf</t>
  </si>
  <si>
    <t>P:\I2535F001_KI-Explore\Bohrprotokolle_Schichtenverzeichnisse\Behringen_13_1964</t>
  </si>
  <si>
    <t>Behringen_13_1964_Log.pdf</t>
  </si>
  <si>
    <t>Behringen_13_1964_SVZ.pdf</t>
  </si>
  <si>
    <t>P:\I2535F001_KI-Explore\Bohrprotokolle_Schichtenverzeichnisse\Behringen_1_1962</t>
  </si>
  <si>
    <t>50_Ro_4929.pdf</t>
  </si>
  <si>
    <t>621286_E_Behringen_01_1962_01.LAS</t>
  </si>
  <si>
    <t>Behn01_GR_NG_OK-UK_Cali.las</t>
  </si>
  <si>
    <t>BEHN1.LAS</t>
  </si>
  <si>
    <t>BEHN1A.LAS</t>
  </si>
  <si>
    <t>BEHN1AA.LAS</t>
  </si>
  <si>
    <t>BEHN1AAA.LAS</t>
  </si>
  <si>
    <t>BEHN1AB.LAS</t>
  </si>
  <si>
    <t>BEHN1B.LAS</t>
  </si>
  <si>
    <t>BEHN1BA.LAS</t>
  </si>
  <si>
    <t>BEHN1_KB.LAS</t>
  </si>
  <si>
    <t>Behringen1.sdg</t>
  </si>
  <si>
    <t>Behringen_1_1962.xlsx</t>
  </si>
  <si>
    <t>Gesteinsdaten.xlsx</t>
  </si>
  <si>
    <t>P:\I2535F001_KI-Explore\Bohrprotokolle_Schichtenverzeichnisse\Behringen_2_1963</t>
  </si>
  <si>
    <t>Behringen_2_1963_Log.pdf</t>
  </si>
  <si>
    <t>Behringen_2_1963_SVZ.pdf</t>
  </si>
  <si>
    <t>P:\I2535F001_KI-Explore\Bohrprotokolle_Schichtenverzeichnisse\Behringen_3_1963</t>
  </si>
  <si>
    <t>Behringen_3_1963_Log.pdf</t>
  </si>
  <si>
    <t>Behringen_3_1963_SVZ.pdf</t>
  </si>
  <si>
    <t>P:\I2535F001_KI-Explore\Bohrprotokolle_Schichtenverzeichnisse\Behringen_4_1963</t>
  </si>
  <si>
    <t>Behringen_4_1963_SVZ.pdf</t>
  </si>
  <si>
    <t>P:\I2535F001_KI-Explore\Bohrprotokolle_Schichtenverzeichnisse\Behringen_5_1963</t>
  </si>
  <si>
    <t>Behn05_GR_NG_OK-UK_Cali.las</t>
  </si>
  <si>
    <t>behn5.las</t>
  </si>
  <si>
    <t>BEHN5A1.LAS</t>
  </si>
  <si>
    <t>BEHN5A2.LAS</t>
  </si>
  <si>
    <t>BEHN5A3.LAS</t>
  </si>
  <si>
    <t>BEHN5A4.LAS</t>
  </si>
  <si>
    <t>BEHN5B1.LAS</t>
  </si>
  <si>
    <t>BEHN5B2.LAS</t>
  </si>
  <si>
    <t>BEHN5B3.LAS</t>
  </si>
  <si>
    <t>BEHN5B4.LAS</t>
  </si>
  <si>
    <t>Behn5cp.las</t>
  </si>
  <si>
    <t>Behn5g.las</t>
  </si>
  <si>
    <t>Behn5kb.las</t>
  </si>
  <si>
    <t>Behn5ok.las</t>
  </si>
  <si>
    <t>Behn5uk.las</t>
  </si>
  <si>
    <t>behn5_g1.las</t>
  </si>
  <si>
    <t>behn5_ga.las</t>
  </si>
  <si>
    <t>behn5_k1.las</t>
  </si>
  <si>
    <t>behn5_k4.las</t>
  </si>
  <si>
    <t>behn5_ka.las</t>
  </si>
  <si>
    <t>behn5_o1.las</t>
  </si>
  <si>
    <t>behn5_ok.las</t>
  </si>
  <si>
    <t>behn5_u1.las</t>
  </si>
  <si>
    <t>behn5_uk.las</t>
  </si>
  <si>
    <t>Behringen5.sdg</t>
  </si>
  <si>
    <t>Behringen_5_1963.xlsx</t>
  </si>
  <si>
    <t>Behringen_5_1963_SVZ.pdf</t>
  </si>
  <si>
    <t>ben5.las</t>
  </si>
  <si>
    <t>ben5_ls.las</t>
  </si>
  <si>
    <t>P:\I2535F001_KI-Explore\Bohrprotokolle_Schichtenverzeichnisse\Behringen_8_1963</t>
  </si>
  <si>
    <t>Behringen_8_1963_Log.pdf</t>
  </si>
  <si>
    <t>Behringen_8_1963_SVZ.pdf</t>
  </si>
  <si>
    <t>P:\I2535F001_KI-Explore\Bohrprotokolle_Schichtenverzeichnisse\Behringen_9_1964</t>
  </si>
  <si>
    <t>60_Ro_4929.pdf</t>
  </si>
  <si>
    <t>661745_E_Behringen_09_1964_01.LAS</t>
  </si>
  <si>
    <t>behn9.las</t>
  </si>
  <si>
    <t>Behn9cp.las</t>
  </si>
  <si>
    <t>behn9_o4.las</t>
  </si>
  <si>
    <t>behn9_u4.las</t>
  </si>
  <si>
    <t>Behringen9.sdg</t>
  </si>
  <si>
    <t>Behringen_9_1964.xlsx</t>
  </si>
  <si>
    <t>Behringen_9_1964_SVZ.pdf</t>
  </si>
  <si>
    <t>P:\I2535F001_KI-Explore\Bohrprotokolle_Schichtenverzeichnisse\Berka_1_1939</t>
  </si>
  <si>
    <t>Berka_1_1939_SVZ.pdf</t>
  </si>
  <si>
    <t>P:\I2535F001_KI-Explore\Bohrprotokolle_Schichtenverzeichnisse\Berka_3_1962</t>
  </si>
  <si>
    <t>614092_Kal_Berka_3_1962_Geophysik_03.TIF</t>
  </si>
  <si>
    <t>614092_Kal_Berka_3_1962_Geophysik_04.TIF</t>
  </si>
  <si>
    <t>614092_Kal_Berka_3_1962_Geophysik_05.TIF</t>
  </si>
  <si>
    <t>614092_Kal_Berka_3_1962_Geophysik_06.TIF</t>
  </si>
  <si>
    <t>614092_Kal_Berka_3_1962_Geophysik_07.TIF</t>
  </si>
  <si>
    <t>P:\I2535F001_KI-Explore\Bohrprotokolle_Schichtenverzeichnisse\Beulwitz_12_1962</t>
  </si>
  <si>
    <t>648270_Fe_Beulwitz_12_1962_01.LAS</t>
  </si>
  <si>
    <t>648270_Fe_Beulwitz_12_1962_02.LAS</t>
  </si>
  <si>
    <t>Beulwitz12.sdg</t>
  </si>
  <si>
    <t>Beulwitz_12_1962.xlsx</t>
  </si>
  <si>
    <t>P:\I2535F001_KI-Explore\Bohrprotokolle_Schichtenverzeichnisse\Birkenfelde_1_1961\Well_data</t>
  </si>
  <si>
    <t>Birkenfelde_1_SVZ.pdf</t>
  </si>
  <si>
    <t>Bkf1_61.xlsx</t>
  </si>
  <si>
    <t>P:\I2535F001_KI-Explore\Bohrprotokolle_Schichtenverzeichnisse\Birkenfelde_1_1961\Well_documentation</t>
  </si>
  <si>
    <t>Birkenfelde_1_61.sdg</t>
  </si>
  <si>
    <t>P:\I2535F001_KI-Explore\Bohrprotokolle_Schichtenverzeichnisse\Birkenhügel_1A_1987</t>
  </si>
  <si>
    <t>133475_Kb_Birkenhügel_1A_1987_01.LAS</t>
  </si>
  <si>
    <t>133475_Kb_Birkenhügel_1A_1987_02.LAS</t>
  </si>
  <si>
    <t>133475_Kb_Birkenhügel_1A_1987_03.LAS</t>
  </si>
  <si>
    <t>Birkenhügel1A.sdg</t>
  </si>
  <si>
    <t>Birkenhügel_1A_1987.xlsx</t>
  </si>
  <si>
    <t>P:\I2535F001_KI-Explore\Bohrprotokolle_Schichtenverzeichnisse\Buttelstedt_1_1963</t>
  </si>
  <si>
    <t>636761_E_Buttelstedt_1_1963_Bohrjournal.pdf</t>
  </si>
  <si>
    <t>636761_E_Buttelstedt_1_1963_Bohrjournal_02.pdf</t>
  </si>
  <si>
    <t>636761_E_Buttelstedt_1_1963_Geophysik_01.TIF</t>
  </si>
  <si>
    <t>636761_E_Buttelstedt_1_1963_Geophysik_02.TIF</t>
  </si>
  <si>
    <t>636761_E_Buttelstedt_1_1963_Geophysik_03.TIF</t>
  </si>
  <si>
    <t>But_1_Log.pdf</t>
  </si>
  <si>
    <t>P:\I2535F001_KI-Explore\Bohrprotokolle_Schichtenverzeichnisse\Buttelstedt_2_1963</t>
  </si>
  <si>
    <t>639020_Kal_Buttelstedt_2_1963_Bohrjournal_01.pdf</t>
  </si>
  <si>
    <t>639020_Kal_Buttelstedt_2_1963_Bohrjournal_02.pdf</t>
  </si>
  <si>
    <t>639020_Kal_Buttelstedt_2_1963_Geophysik_01.jpg</t>
  </si>
  <si>
    <t>639020_Kal_Buttelstedt_2_1963_Geophysik_02.jpg</t>
  </si>
  <si>
    <t>639020_Kal_Buttelstedt_2_1963_Geophysik_03.jpg</t>
  </si>
  <si>
    <t>639020_Kal_Buttelstedt_2_1963_Geophysik_04.jpg</t>
  </si>
  <si>
    <t>639020_Kal_Buttelstedt_2_1963_Geophysik_05.jpg</t>
  </si>
  <si>
    <t>639020_Kal_Buttelstedt_2_1963_Geophysik_06.jpg</t>
  </si>
  <si>
    <t>639020_Kal_Buttelstedt_2_1963_Geophysik_07.jpg</t>
  </si>
  <si>
    <t>639020_Kal_Buttelstedt_2_1963_Geophysik_08.jpg</t>
  </si>
  <si>
    <t>639020_Kal_Buttelstedt_2_1963_Geophysik_09.jpg</t>
  </si>
  <si>
    <t>P:\I2535F001_KI-Explore\Bohrprotokolle_Schichtenverzeichnisse\Buttelstedt_3_1974</t>
  </si>
  <si>
    <t>636762_Kal_Buttelstedt 3_1974_Bohrjournal.pdf</t>
  </si>
  <si>
    <t>Buttelstedt_3_1974.xlsx</t>
  </si>
  <si>
    <t>Butteslstedt3.sdg</t>
  </si>
  <si>
    <t>P:\I2535F001_KI-Explore\Bohrprotokolle_Schichtenverzeichnisse\Buttelstedt_3_1974\636762_Kal_Buttelstedt_3_1974</t>
  </si>
  <si>
    <t>636762_Kal_Buttelstedt_3_1974_Composite_KORR.las</t>
  </si>
  <si>
    <t>636762_Kal_Buttelstedt_3_1974_Composite_SPEZ.las</t>
  </si>
  <si>
    <t>636762_Kal_Buttelstedt_3_1974_Edit_KORR_1-1000.tif</t>
  </si>
  <si>
    <t>636762_Kal_Buttelstedt_3_1974_Edit_SPEZ_1-500.tif</t>
  </si>
  <si>
    <t>636762_Kal_Buttelstedt_3_1974_REPORT_KORR.docx</t>
  </si>
  <si>
    <t>636762_Kal_Buttelstedt_3_1974_REPORT_SPEZ.docx</t>
  </si>
  <si>
    <t>P:\I2535F001_KI-Explore\Bohrprotokolle_Schichtenverzeichnisse\Buttelstedt_3_1974\636762_Kal_Buttelstedt_3_1974\Rohdaten</t>
  </si>
  <si>
    <t>636762_Kal_Buttelstedt 3_1974_Geophysik_01.las</t>
  </si>
  <si>
    <t>636762_Kal_Buttelstedt 3_1974_Geophysik_02.las</t>
  </si>
  <si>
    <t>636762_Kal_Buttelstedt 3_1974_Geophysik_03.las</t>
  </si>
  <si>
    <t>P:\I2535F001_KI-Explore\Bohrprotokolle_Schichtenverzeichnisse\Buttstädt_2_1964</t>
  </si>
  <si>
    <t>107322_Kal_Buttstaedt_2_1964_Bohrjournal_01.pdf</t>
  </si>
  <si>
    <t>107322_Kal_Buttstaedt_2_1964_Bohrjournal_02.pdf</t>
  </si>
  <si>
    <t>107322_Kal_Buttstaedt_2_1964_Geophysik_01.jpg</t>
  </si>
  <si>
    <t>107322_Kal_Buttstaedt_2_1964_Geophysik_02.jpg</t>
  </si>
  <si>
    <t>107322_Kal_Buttstaedt_2_1964_Geophysik_03.jpg</t>
  </si>
  <si>
    <t>107322_Kal_Buttstaedt_2_1964_Geophysik_04.jpg</t>
  </si>
  <si>
    <t>107322_Kal_Buttstaedt_2_1964_Geophysik_05.jpg</t>
  </si>
  <si>
    <t>107322_Kal_Buttstaedt_2_1964_Geophysik_06.jpg</t>
  </si>
  <si>
    <t>107322_Kal_Buttstaedt_2_1964_Geophysik_07.jpg</t>
  </si>
  <si>
    <t>Bts_2_Log.pdf</t>
  </si>
  <si>
    <t>P:\I2535F001_KI-Explore\Bohrprotokolle_Schichtenverzeichnisse\Buttstädt_3_1973</t>
  </si>
  <si>
    <t>107480_Kal_Buttstaedt_3_1972_Bohrjournal.pdf</t>
  </si>
  <si>
    <t>107480_Kal_Buttstaedt_3_1972_Geophysik_01.tif</t>
  </si>
  <si>
    <t>107480_Kal_Buttstaedt_3_1972_Geophysik_02.jpg</t>
  </si>
  <si>
    <t>P:\I2535F001_KI-Explore\Bohrprotokolle_Schichtenverzeichnisse\Buttstädt_4_1973</t>
  </si>
  <si>
    <t>107473_Kal_Buttstaedt_4_1973_Bohrjournal.pdf</t>
  </si>
  <si>
    <t>107473_Kal_Buttstaedt_4_1973_Geophysik_01.tif</t>
  </si>
  <si>
    <t>107473_Kal_Buttstaedt_4_1973_Geophysik_02.jpg</t>
  </si>
  <si>
    <t>107473_Kal_Buttstaedt_4_1973_Geophysik_03.tif</t>
  </si>
  <si>
    <t>P:\I2535F001_KI-Explore\Bohrprotokolle_Schichtenverzeichnisse\Buttstädt_5_1974</t>
  </si>
  <si>
    <t>107477_Kal_Buttstaedt_5_1974_01.LAS</t>
  </si>
  <si>
    <t>107477_Kal_Buttstaedt_5_1974_02.LAS</t>
  </si>
  <si>
    <t>107477_Kal_Buttstaedt_5_1974_Bohrjournal.pdf</t>
  </si>
  <si>
    <t>Buttstädt5.sdg</t>
  </si>
  <si>
    <t>Buttstädt_5_1974.xlsx</t>
  </si>
  <si>
    <t>P:\I2535F001_KI-Explore\Bohrprotokolle_Schichtenverzeichnisse\Buttstädt_6_1974</t>
  </si>
  <si>
    <t>107532_Kal_Buttstaedt_6_1974_Bohrjournal.pdf</t>
  </si>
  <si>
    <t>Buttstädt6.sdg</t>
  </si>
  <si>
    <t>Buttstädt_6_1974.xlsx</t>
  </si>
  <si>
    <t>P:\I2535F001_KI-Explore\Bohrprotokolle_Schichtenverzeichnisse\Buttstädt_6_1974\107532_Kal_Buttstädt_6_1974</t>
  </si>
  <si>
    <t>107532_Kal_Buttstaedt_6_1974_Composite_KORR.las</t>
  </si>
  <si>
    <t>107532_Kal_Buttstaedt_6_1974_Composite_SPEZ.las</t>
  </si>
  <si>
    <t>107532_Kal_Buttstaedt_6_1974_Edit_KORR_1-1000.tif</t>
  </si>
  <si>
    <t>107532_Kal_Buttstaedt_6_1974_Edit_SPEZ_1-500.tif</t>
  </si>
  <si>
    <t>107532_Kal_Buttstaedt_6_1974_REPORT_KORR.docx</t>
  </si>
  <si>
    <t>107532_Kal_Buttstaedt_6_1974_REPORT_SPEZ.docx</t>
  </si>
  <si>
    <t>P:\I2535F001_KI-Explore\Bohrprotokolle_Schichtenverzeichnisse\Buttstädt_6_1974\107532_Kal_Buttstädt_6_1974\Rohdaten</t>
  </si>
  <si>
    <t>107532_Kal_Buttstaedt_6_1974_Geophysik_01.las</t>
  </si>
  <si>
    <t>107532_Kal_Buttstaedt_6_1974_Geophysik_02.las</t>
  </si>
  <si>
    <t>107532_Kal_Buttstaedt_6_1974_Geophysik_03.las</t>
  </si>
  <si>
    <t>P:\I2535F001_KI-Explore\Bohrprotokolle_Schichtenverzeichnisse\Buttstädt_7_1974</t>
  </si>
  <si>
    <t>107600_Kal_Buttstaedt_7_1974_Bohrjournal.pdf</t>
  </si>
  <si>
    <t>Buttstädt7.sdg</t>
  </si>
  <si>
    <t>Buttstädt_7_1974.xlsx</t>
  </si>
  <si>
    <t>P:\I2535F001_KI-Explore\Bohrprotokolle_Schichtenverzeichnisse\Buttstädt_7_1974\107600_Kal_Buttstädt_7_1974</t>
  </si>
  <si>
    <t>107600_Kal_Buttstaedt_7_1974_Composite_KORR.las</t>
  </si>
  <si>
    <t>107600_Kal_Buttstaedt_7_1974_Composite_SPEZ.las</t>
  </si>
  <si>
    <t>107600_Kal_Buttstaedt_7_1974_Edit_KORR_1-1000.tif</t>
  </si>
  <si>
    <t>107600_Kal_Buttstaedt_7_1974_Edit_SPEZ_1-500.tif</t>
  </si>
  <si>
    <t>107600_Kal_Buttstaedt_7_1974_REPORT_KORR.docx</t>
  </si>
  <si>
    <t>107600_Kal_Buttstaedt_7_1974_REPORT_SPEZ.docx</t>
  </si>
  <si>
    <t>P:\I2535F001_KI-Explore\Bohrprotokolle_Schichtenverzeichnisse\Buttstädt_7_1974\107600_Kal_Buttstädt_7_1974\Rohdaten</t>
  </si>
  <si>
    <t>107600_Kal_Buttstaedt 7_1974_Geophysik_01.las</t>
  </si>
  <si>
    <t>107600_Kal_Buttstaedt 7_1974_Geophysik_02.las</t>
  </si>
  <si>
    <t>107600_Kal_Buttstaedt 7_1974_Geophysik_03.las</t>
  </si>
  <si>
    <t>107600_Kal_Buttstaedt 7_1974_Geophysik_04.las</t>
  </si>
  <si>
    <t>P:\I2535F001_KI-Explore\Bohrprotokolle_Schichtenverzeichnisse\Creuzburg_1_1966</t>
  </si>
  <si>
    <t>1967-3058-Anlage-1.pdf</t>
  </si>
  <si>
    <t>1967-3058-Anlage-2.pdf</t>
  </si>
  <si>
    <t>1967-3058-Anlage-3.pdf</t>
  </si>
  <si>
    <t>1967-3058-Anlage-4.pdf</t>
  </si>
  <si>
    <t>1967-3058-Anlage-5.pdf</t>
  </si>
  <si>
    <t>1967-3058.pdf</t>
  </si>
  <si>
    <t>620016_E_Creuzburg_1_1966_01.LAS</t>
  </si>
  <si>
    <t>Creuzburg1.sdg</t>
  </si>
  <si>
    <t>Creuzburg_1_1966.xlsx</t>
  </si>
  <si>
    <t>Creuzburg_1_1966_SVZ.pdf</t>
  </si>
  <si>
    <t>P:\I2535F001_KI-Explore\Bohrprotokolle_Schichtenverzeichnisse\Creuzburg_2_1967</t>
  </si>
  <si>
    <t>1967-3059-Anlage-1.pdf</t>
  </si>
  <si>
    <t>1967-3059.pdf</t>
  </si>
  <si>
    <t>Creuzburg_2_1967_Log.pdf</t>
  </si>
  <si>
    <t>Creuzburg_2_1967_Petrophysik.pdf</t>
  </si>
  <si>
    <t>Creuzburg_2_1967_SVZ.pdf</t>
  </si>
  <si>
    <t>P:\I2535F001_KI-Explore\Bohrprotokolle_Schichtenverzeichnisse\Deicheroda_1_1963</t>
  </si>
  <si>
    <t>Deicheroda_1_1963_Log.pdf</t>
  </si>
  <si>
    <t>Deicheroda_1_1963_SVZ.pdf</t>
  </si>
  <si>
    <t>P:\I2535F001_KI-Explore\Bohrprotokolle_Schichtenverzeichnisse\Doehlau_1_1963</t>
  </si>
  <si>
    <t>616335_Kb_Doehlau_1_1963_01.LAS</t>
  </si>
  <si>
    <t>616335_Kb_Doehlau_1_1963_02.LAS</t>
  </si>
  <si>
    <t>616335_Kb_Doehlau_1_1963_03.LAS</t>
  </si>
  <si>
    <t>616335_Kb_Doehlau_1_1963_04.LAS</t>
  </si>
  <si>
    <t>Döhlau1.sdg</t>
  </si>
  <si>
    <t>Döhlau_1_1963.xlsx</t>
  </si>
  <si>
    <t>P:\I2535F001_KI-Explore\Bohrprotokolle_Schichtenverzeichnisse\Doehlau_2_1964</t>
  </si>
  <si>
    <t>616336_Kb_Doehlau_2_1964_01.LAS</t>
  </si>
  <si>
    <t>616336_Kb_Doehlau_2_1964_02.LAS</t>
  </si>
  <si>
    <t>Döhlau2.sdg</t>
  </si>
  <si>
    <t>Döhlau_2_1964.xlsx</t>
  </si>
  <si>
    <t>P:\I2535F001_KI-Explore\Bohrprotokolle_Schichtenverzeichnisse\Dreisbach_1_1963</t>
  </si>
  <si>
    <t>630397_Kb_Dreisbach_1_1963_01.LAS</t>
  </si>
  <si>
    <t>630397_Kb_Dreisbach_1_1963_02.LAS</t>
  </si>
  <si>
    <t>Dreisbach1.sdg</t>
  </si>
  <si>
    <t>Dreisbach_1_1963.xlsx</t>
  </si>
  <si>
    <t>P:\I2535F001_KI-Explore\Bohrprotokolle_Schichtenverzeichnisse\Elende_12_1977</t>
  </si>
  <si>
    <t>611248_Kal_Elende 12_1977_Geophysik_01.TIF</t>
  </si>
  <si>
    <t>611248_Kal_Elende 12_1977_Geophysik_02.TIF</t>
  </si>
  <si>
    <t>612509_Kal_Nohra 12_1978_Geophysik_01.TIF</t>
  </si>
  <si>
    <t>612509_Kal_Nohra 12_1978_Geophysik_02.TIF</t>
  </si>
  <si>
    <t>P:\I2535F001_KI-Explore\Bohrprotokolle_Schichtenverzeichnisse\Elende_12_1977\Elende</t>
  </si>
  <si>
    <t>Elende.pdf</t>
  </si>
  <si>
    <t>P:\I2535F001_KI-Explore\Bohrprotokolle_Schichtenverzeichnisse\Erfurt_1_2013</t>
  </si>
  <si>
    <t>178193.pdf</t>
  </si>
  <si>
    <t>178194.xls</t>
  </si>
  <si>
    <t>179361.jpg</t>
  </si>
  <si>
    <t>179362.jpg</t>
  </si>
  <si>
    <t>179363.jpg</t>
  </si>
  <si>
    <t>179364.jpg</t>
  </si>
  <si>
    <t>179365.jpg</t>
  </si>
  <si>
    <t>179366.jpg</t>
  </si>
  <si>
    <t>179367.jpg</t>
  </si>
  <si>
    <t>179368.jpg</t>
  </si>
  <si>
    <t>179369.jpg</t>
  </si>
  <si>
    <t>179370.jpg</t>
  </si>
  <si>
    <t>179371.jpg</t>
  </si>
  <si>
    <t>179372.jpg</t>
  </si>
  <si>
    <t>179373.jpg</t>
  </si>
  <si>
    <t>179374.jpg</t>
  </si>
  <si>
    <t>179375.jpg</t>
  </si>
  <si>
    <t>179376.jpg</t>
  </si>
  <si>
    <t>179377.jpg</t>
  </si>
  <si>
    <t>179378.jpg</t>
  </si>
  <si>
    <t>179379.jpg</t>
  </si>
  <si>
    <t>179380.jpg</t>
  </si>
  <si>
    <t>179381.jpg</t>
  </si>
  <si>
    <t>179382.jpg</t>
  </si>
  <si>
    <t>179383.jpg</t>
  </si>
  <si>
    <t>179384.jpg</t>
  </si>
  <si>
    <t>179385.jpg</t>
  </si>
  <si>
    <t>179386.jpg</t>
  </si>
  <si>
    <t>179387.jpg</t>
  </si>
  <si>
    <t>179388.jpg</t>
  </si>
  <si>
    <t>179389.jpg</t>
  </si>
  <si>
    <t>179390.jpg</t>
  </si>
  <si>
    <t>179391.jpg</t>
  </si>
  <si>
    <t>179392.jpg</t>
  </si>
  <si>
    <t>179393.jpg</t>
  </si>
  <si>
    <t>179394.jpg</t>
  </si>
  <si>
    <t>179395.jpg</t>
  </si>
  <si>
    <t>179396.jpg</t>
  </si>
  <si>
    <t>179397.jpg</t>
  </si>
  <si>
    <t>179398.jpg</t>
  </si>
  <si>
    <t>179399.jpg</t>
  </si>
  <si>
    <t>179400.jpg</t>
  </si>
  <si>
    <t>179401.jpg</t>
  </si>
  <si>
    <t>179402.jpg</t>
  </si>
  <si>
    <t>179403.jpg</t>
  </si>
  <si>
    <t>179404.jpg</t>
  </si>
  <si>
    <t>179405.jpg</t>
  </si>
  <si>
    <t>179406.jpg</t>
  </si>
  <si>
    <t>179407.jpg</t>
  </si>
  <si>
    <t>179408.jpg</t>
  </si>
  <si>
    <t>179409.jpg</t>
  </si>
  <si>
    <t>179410.jpg</t>
  </si>
  <si>
    <t>179411.jpg</t>
  </si>
  <si>
    <t>179412.jpg</t>
  </si>
  <si>
    <t>179413.jpg</t>
  </si>
  <si>
    <t>179414.jpg</t>
  </si>
  <si>
    <t>179415.jpg</t>
  </si>
  <si>
    <t>179416.jpg</t>
  </si>
  <si>
    <t>179417.jpg</t>
  </si>
  <si>
    <t>179418.jpg</t>
  </si>
  <si>
    <t>179419.jpg</t>
  </si>
  <si>
    <t>179420.jpg</t>
  </si>
  <si>
    <t>179421.jpg</t>
  </si>
  <si>
    <t>179422.jpg</t>
  </si>
  <si>
    <t>179423.jpg</t>
  </si>
  <si>
    <t>179424.jpg</t>
  </si>
  <si>
    <t>179425.jpg</t>
  </si>
  <si>
    <t>179426.jpg</t>
  </si>
  <si>
    <t>179427.jpg</t>
  </si>
  <si>
    <t>179428.jpg</t>
  </si>
  <si>
    <t>179429.jpg</t>
  </si>
  <si>
    <t>179430.jpg</t>
  </si>
  <si>
    <t>179431.jpg</t>
  </si>
  <si>
    <t>179432.jpg</t>
  </si>
  <si>
    <t>179433.jpg</t>
  </si>
  <si>
    <t>179434.jpg</t>
  </si>
  <si>
    <t>179435.jpg</t>
  </si>
  <si>
    <t>179436.jpg</t>
  </si>
  <si>
    <t>179437.jpg</t>
  </si>
  <si>
    <t>179438.jpg</t>
  </si>
  <si>
    <t>179439.jpg</t>
  </si>
  <si>
    <t>179440.jpg</t>
  </si>
  <si>
    <t>179441.jpg</t>
  </si>
  <si>
    <t>179442.jpg</t>
  </si>
  <si>
    <t>179443.jpg</t>
  </si>
  <si>
    <t>179444.jpg</t>
  </si>
  <si>
    <t>179445.jpg</t>
  </si>
  <si>
    <t>179446.jpg</t>
  </si>
  <si>
    <t>179447.jpg</t>
  </si>
  <si>
    <t>179448.jpg</t>
  </si>
  <si>
    <t>179449.jpg</t>
  </si>
  <si>
    <t>179450.jpg</t>
  </si>
  <si>
    <t>179451.jpg</t>
  </si>
  <si>
    <t>179452.jpg</t>
  </si>
  <si>
    <t>179453.jpg</t>
  </si>
  <si>
    <t>179454.jpg</t>
  </si>
  <si>
    <t>179455.jpg</t>
  </si>
  <si>
    <t>179456.jpg</t>
  </si>
  <si>
    <t>179457.jpg</t>
  </si>
  <si>
    <t>179458.jpg</t>
  </si>
  <si>
    <t>179459.jpg</t>
  </si>
  <si>
    <t>179460.jpg</t>
  </si>
  <si>
    <t>P:\I2535F001_KI-Explore\Bohrprotokolle_Schichtenverzeichnisse\Erfurt_1_2013\Well_data</t>
  </si>
  <si>
    <t>Datennutzungsvereinbarung_EF-FB-Zimmermann.docx</t>
  </si>
  <si>
    <t>EF1_13.txt</t>
  </si>
  <si>
    <t>EF1_13.xlsx</t>
  </si>
  <si>
    <t>INFLUIS-GR-Kernscans.zip</t>
  </si>
  <si>
    <t>P:\I2535F001_KI-Explore\Bohrprotokolle_Schichtenverzeichnisse\Erfurt_1_2013\Well_data\Erfurt_1_2013_Pics</t>
  </si>
  <si>
    <t>753626_Fb_Erfurt_1_2013_KK001-006.JPG</t>
  </si>
  <si>
    <t>753626_Fb_Erfurt_1_2013_KK001-563_KM285-915m.pdf</t>
  </si>
  <si>
    <t>753626_Fb_Erfurt_1_2013_KK007-012.JPG</t>
  </si>
  <si>
    <t>753626_Fb_Erfurt_1_2013_KK013-018.JPG</t>
  </si>
  <si>
    <t>753626_Fb_Erfurt_1_2013_KK019-024.JPG</t>
  </si>
  <si>
    <t>753626_Fb_Erfurt_1_2013_KK025-030.JPG</t>
  </si>
  <si>
    <t>753626_Fb_Erfurt_1_2013_KK031-036.JPG</t>
  </si>
  <si>
    <t>753626_Fb_Erfurt_1_2013_KK037-042.JPG</t>
  </si>
  <si>
    <t>753626_Fb_Erfurt_1_2013_KK043-048.JPG</t>
  </si>
  <si>
    <t>753626_Fb_Erfurt_1_2013_KK049-054.JPG</t>
  </si>
  <si>
    <t>753626_Fb_Erfurt_1_2013_KK055-061.JPG</t>
  </si>
  <si>
    <t>753626_Fb_Erfurt_1_2013_KK061-066.JPG</t>
  </si>
  <si>
    <t>753626_Fb_Erfurt_1_2013_KK067-072.JPG</t>
  </si>
  <si>
    <t>753626_Fb_Erfurt_1_2013_KK073-078.JPG</t>
  </si>
  <si>
    <t>753626_Fb_Erfurt_1_2013_KK079-084.JPG</t>
  </si>
  <si>
    <t>753626_Fb_Erfurt_1_2013_KK085-090.JPG</t>
  </si>
  <si>
    <t>753626_Fb_Erfurt_1_2013_KK091-096.JPG</t>
  </si>
  <si>
    <t>753626_Fb_Erfurt_1_2013_KK097-102.JPG</t>
  </si>
  <si>
    <t>753626_Fb_Erfurt_1_2013_KK103-108.JPG</t>
  </si>
  <si>
    <t>753626_Fb_Erfurt_1_2013_KK109-114.JPG</t>
  </si>
  <si>
    <t>753626_Fb_Erfurt_1_2013_KK115-120.JPG</t>
  </si>
  <si>
    <t>753626_Fb_Erfurt_1_2013_KK121-126.JPG</t>
  </si>
  <si>
    <t>753626_Fb_Erfurt_1_2013_KK127-132.JPG</t>
  </si>
  <si>
    <t>753626_Fb_Erfurt_1_2013_KK133-138.JPG</t>
  </si>
  <si>
    <t>753626_Fb_Erfurt_1_2013_KK139-144.JPG</t>
  </si>
  <si>
    <t>753626_Fb_Erfurt_1_2013_KK145-150.JPG</t>
  </si>
  <si>
    <t>753626_Fb_Erfurt_1_2013_KK151-156.JPG</t>
  </si>
  <si>
    <t>753626_Fb_Erfurt_1_2013_KK157-162.JPG</t>
  </si>
  <si>
    <t>753626_Fb_Erfurt_1_2013_KK163-168.JPG</t>
  </si>
  <si>
    <t>753626_Fb_Erfurt_1_2013_KK169-170.JPG</t>
  </si>
  <si>
    <t>753626_Fb_Erfurt_1_2013_KK171-176.JPG</t>
  </si>
  <si>
    <t>753626_Fb_Erfurt_1_2013_KK177-182.JPG</t>
  </si>
  <si>
    <t>753626_Fb_Erfurt_1_2013_KK183-188.JPG</t>
  </si>
  <si>
    <t>753626_Fb_Erfurt_1_2013_KK189-193.JPG</t>
  </si>
  <si>
    <t>753626_Fb_Erfurt_1_2013_KK194-195.JPG</t>
  </si>
  <si>
    <t>753626_Fb_Erfurt_1_2013_KK196-200.JPG</t>
  </si>
  <si>
    <t>753626_Fb_Erfurt_1_2013_KK201-205.JPG</t>
  </si>
  <si>
    <t>753626_Fb_Erfurt_1_2013_KK206-210.JPG</t>
  </si>
  <si>
    <t>753626_Fb_Erfurt_1_2013_KK211-215.JPG</t>
  </si>
  <si>
    <t>753626_Fb_Erfurt_1_2013_KK216-220.JPG</t>
  </si>
  <si>
    <t>753626_Fb_Erfurt_1_2013_KK221-225.JPG</t>
  </si>
  <si>
    <t>753626_Fb_Erfurt_1_2013_KK226-230.JPG</t>
  </si>
  <si>
    <t>753626_Fb_Erfurt_1_2013_KK231-235.JPG</t>
  </si>
  <si>
    <t>753626_Fb_Erfurt_1_2013_KK236-240.JPG</t>
  </si>
  <si>
    <t>753626_Fb_Erfurt_1_2013_KK241-245.JPG</t>
  </si>
  <si>
    <t>753626_Fb_Erfurt_1_2013_KK246-250.JPG</t>
  </si>
  <si>
    <t>753626_Fb_Erfurt_1_2013_KK251-255.JPG</t>
  </si>
  <si>
    <t>753626_Fb_Erfurt_1_2013_KK256-260.JPG</t>
  </si>
  <si>
    <t>753626_Fb_Erfurt_1_2013_KK261-265.JPG</t>
  </si>
  <si>
    <t>753626_Fb_Erfurt_1_2013_KK266-270.JPG</t>
  </si>
  <si>
    <t>753626_Fb_Erfurt_1_2013_KK271-275.JPG</t>
  </si>
  <si>
    <t>753626_Fb_Erfurt_1_2013_KK276-280.JPG</t>
  </si>
  <si>
    <t>753626_Fb_Erfurt_1_2013_KK281-286.JPG</t>
  </si>
  <si>
    <t>753626_Fb_Erfurt_1_2013_KK287-292.JPG</t>
  </si>
  <si>
    <t>753626_Fb_Erfurt_1_2013_KK293-298.JPG</t>
  </si>
  <si>
    <t>753626_Fb_Erfurt_1_2013_KK299-304.JPG</t>
  </si>
  <si>
    <t>753626_Fb_Erfurt_1_2013_KK305-310.JPG</t>
  </si>
  <si>
    <t>753626_Fb_Erfurt_1_2013_KK311-316.JPG</t>
  </si>
  <si>
    <t>753626_Fb_Erfurt_1_2013_KK317-322.JPG</t>
  </si>
  <si>
    <t>753626_Fb_Erfurt_1_2013_KK323-328.JPG</t>
  </si>
  <si>
    <t>753626_Fb_Erfurt_1_2013_KK329-334.JPG</t>
  </si>
  <si>
    <t>753626_Fb_Erfurt_1_2013_KK335-340.JPG</t>
  </si>
  <si>
    <t>753626_Fb_Erfurt_1_2013_KK341-346.JPG</t>
  </si>
  <si>
    <t>753626_Fb_Erfurt_1_2013_KK347-352.JPG</t>
  </si>
  <si>
    <t>753626_Fb_Erfurt_1_2013_KK353-358.JPG</t>
  </si>
  <si>
    <t>753626_Fb_Erfurt_1_2013_KK359-364.JPG</t>
  </si>
  <si>
    <t>753626_Fb_Erfurt_1_2013_KK365-370.JPG</t>
  </si>
  <si>
    <t>753626_Fb_Erfurt_1_2013_KK371-376.JPG</t>
  </si>
  <si>
    <t>753626_Fb_Erfurt_1_2013_KK377-382.JPG</t>
  </si>
  <si>
    <t>753626_Fb_Erfurt_1_2013_KK383-386.JPG</t>
  </si>
  <si>
    <t>753626_Fb_Erfurt_1_2013_KK387-390.JPG</t>
  </si>
  <si>
    <t>753626_Fb_Erfurt_1_2013_KK391-396.JPG</t>
  </si>
  <si>
    <t>753626_Fb_Erfurt_1_2013_KK397-402.JPG</t>
  </si>
  <si>
    <t>753626_Fb_Erfurt_1_2013_KK403-408.JPG</t>
  </si>
  <si>
    <t>753626_Fb_Erfurt_1_2013_KK409-414.JPG</t>
  </si>
  <si>
    <t>753626_Fb_Erfurt_1_2013_KK415-420.JPG</t>
  </si>
  <si>
    <t>753626_Fb_Erfurt_1_2013_KK421-426.JPG</t>
  </si>
  <si>
    <t>753626_Fb_Erfurt_1_2013_KK427-432.JPG</t>
  </si>
  <si>
    <t>753626_Fb_Erfurt_1_2013_KK433-438.JPG</t>
  </si>
  <si>
    <t>753626_Fb_Erfurt_1_2013_KK439-444.JPG</t>
  </si>
  <si>
    <t>753626_Fb_Erfurt_1_2013_KK445-450.JPG</t>
  </si>
  <si>
    <t>753626_Fb_Erfurt_1_2013_KK451-456.JPG</t>
  </si>
  <si>
    <t>753626_Fb_Erfurt_1_2013_KK457-462.JPG</t>
  </si>
  <si>
    <t>753626_Fb_Erfurt_1_2013_KK463-468.JPG</t>
  </si>
  <si>
    <t>753626_Fb_Erfurt_1_2013_KK469-474.JPG</t>
  </si>
  <si>
    <t>753626_Fb_Erfurt_1_2013_KK475-480.JPG</t>
  </si>
  <si>
    <t>753626_Fb_Erfurt_1_2013_KK481-486.JPG</t>
  </si>
  <si>
    <t>753626_Fb_Erfurt_1_2013_KK487-490.JPG</t>
  </si>
  <si>
    <t>753626_Fb_Erfurt_1_2013_KK491-494.JPG</t>
  </si>
  <si>
    <t>753626_Fb_Erfurt_1_2013_KK495-500.JPG</t>
  </si>
  <si>
    <t>753626_Fb_Erfurt_1_2013_KK501-506.JPG</t>
  </si>
  <si>
    <t>753626_Fb_Erfurt_1_2013_KK507-512.JPG</t>
  </si>
  <si>
    <t>753626_Fb_Erfurt_1_2013_KK513-518.JPG</t>
  </si>
  <si>
    <t>753626_Fb_Erfurt_1_2013_KK519-524.JPG</t>
  </si>
  <si>
    <t>753626_Fb_Erfurt_1_2013_KK525-530.JPG</t>
  </si>
  <si>
    <t>753626_Fb_Erfurt_1_2013_KK531-536.JPG</t>
  </si>
  <si>
    <t>753626_Fb_Erfurt_1_2013_KK537-542.JPG</t>
  </si>
  <si>
    <t>753626_Fb_Erfurt_1_2013_KK543-548.JPG</t>
  </si>
  <si>
    <t>753626_Fb_Erfurt_1_2013_KK549-554.JPG</t>
  </si>
  <si>
    <t>753626_Fb_Erfurt_1_2013_KK555-558.JPG</t>
  </si>
  <si>
    <t>753626_Fb_Erfurt_1_2013_KK559-563.JPG</t>
  </si>
  <si>
    <t>Infos KK.txt</t>
  </si>
  <si>
    <t>P:\I2535F001_KI-Explore\Bohrprotokolle_Schichtenverzeichnisse\Erfurt_1_2013\Well_data\INFLUIS-GR-Kernscans</t>
  </si>
  <si>
    <t>2014-03-07 SECTION_OVERVIEW.pdf</t>
  </si>
  <si>
    <t>FB-Erfurt-GR_teufenkorrigiert.txt</t>
  </si>
  <si>
    <t>P:\I2535F001_KI-Explore\Bohrprotokolle_Schichtenverzeichnisse\Erfurt_1_2013\Well_data\__MACOSX\INFLUIS-GR-Kernscans</t>
  </si>
  <si>
    <t>._2014-03-07 SECTION_OVERVIEW.pdf</t>
  </si>
  <si>
    <t>._FB-Erfurt-GR_teufenkorrigiert.txt</t>
  </si>
  <si>
    <t>P:\I2535F001_KI-Explore\Bohrprotokolle_Schichtenverzeichnisse\Erfurt_1_2013\Well_documentation</t>
  </si>
  <si>
    <t>Erfurt_1_2013.sdg</t>
  </si>
  <si>
    <t>P:\I2535F001_KI-Explore\Bohrprotokolle_Schichtenverzeichnisse\Ettersberg_4_1962</t>
  </si>
  <si>
    <t>1961-2877.pdf</t>
  </si>
  <si>
    <t>641230_E_Ettersberg_4_1962_01.LAS</t>
  </si>
  <si>
    <t>641230_E_Ettersberg_4_1962_02.LAS</t>
  </si>
  <si>
    <t>641230_E_Ettersberg_4_1962_03.LAS</t>
  </si>
  <si>
    <t>641230_E_Ettersberg_4_1962_Bohrjournal.pdf</t>
  </si>
  <si>
    <t>Ettersberg4.sdg</t>
  </si>
  <si>
    <t>Ettersberg_4_1962.xlsx</t>
  </si>
  <si>
    <t>P:\I2535F001_KI-Explore\Bohrprotokolle_Schichtenverzeichnisse\Ettersberg_5_1962</t>
  </si>
  <si>
    <t>1961-2878.pdf</t>
  </si>
  <si>
    <t>660963_E_Ettersberg_5_1961_Bohrjournal.pdf</t>
  </si>
  <si>
    <t>660963_E_Ettersberg_5_1961_Geophysik_01.tif</t>
  </si>
  <si>
    <t>660963_E_Ettersberg_5_1961_Geophysik_02.tif</t>
  </si>
  <si>
    <t>660963_E_Ettersberg_5_1961_Geophysik_03.tif</t>
  </si>
  <si>
    <t>660963_E_Ettersberg_5_1961_Geophysik_04.tif</t>
  </si>
  <si>
    <t>660963_E_Ettersberg_5_1961_Geophysik_05.tif</t>
  </si>
  <si>
    <t>E_Ettersberg_5_1961.pdf</t>
  </si>
  <si>
    <t>P:\I2535F001_KI-Explore\Bohrprotokolle_Schichtenverzeichnisse\Ettersberg_6_1962</t>
  </si>
  <si>
    <t>1962-2965.pdf</t>
  </si>
  <si>
    <t>622243_E_Ettersberg_6_1962_Bohrjournal.pdf</t>
  </si>
  <si>
    <t>622243_E_Ettersberg_6_1962_Geophysik_01.jpg</t>
  </si>
  <si>
    <t>622243_E_Ettersberg_6_1962_Geophysik_01_Teil01.tif</t>
  </si>
  <si>
    <t>622243_E_Ettersberg_6_1962_Geophysik_01_Teil02.tif</t>
  </si>
  <si>
    <t>622243_E_Ettersberg_6_1962_Geophysik_01_Teil03.tif</t>
  </si>
  <si>
    <t>622243_E_Ettersberg_6_1962_Geophysik_02.tif</t>
  </si>
  <si>
    <t>622243_E_Ettersberg_6_1962_Geophysik_03.TIF</t>
  </si>
  <si>
    <t>622243_E_Ettersberg_6_1962_Geophysik_04.tif</t>
  </si>
  <si>
    <t>E_Ettersberg_6_1962.pdf</t>
  </si>
  <si>
    <t>P:\I2535F001_KI-Explore\Bohrprotokolle_Schichtenverzeichnisse\Ettersberg_7_1963</t>
  </si>
  <si>
    <t>1963-2988-Anlage-1.pdf</t>
  </si>
  <si>
    <t>1963-2988-Anlage-2.pdf</t>
  </si>
  <si>
    <t>1963-2988.pdf</t>
  </si>
  <si>
    <t>641282_Ettersberg_7_1963_Bohrjournal.pdf</t>
  </si>
  <si>
    <t>641282_Ettersberg_7_1963_Geophysik_01.jpg</t>
  </si>
  <si>
    <t>641282_Ettersberg_7_1963_Geophysik_02.jpg</t>
  </si>
  <si>
    <t>641282_Ettersberg_7_1963_Geophysik_03.jpg</t>
  </si>
  <si>
    <t>641282_Ettersberg_7_1963_Geophysik_04.jpg</t>
  </si>
  <si>
    <t>641282_Ettersberg_7_1963_Geophysik_05.jpg</t>
  </si>
  <si>
    <t>641282_Ettersberg_7_1963_Geophysik_06.jpg</t>
  </si>
  <si>
    <t>E_Ettersberg_7_1963.pdf</t>
  </si>
  <si>
    <t>P:\I2535F001_KI-Explore\Bohrprotokolle_Schichtenverzeichnisse\FahnerHöhe_13_1963\Well_data</t>
  </si>
  <si>
    <t>FH_TO13_63.xlsx</t>
  </si>
  <si>
    <t>P:\I2535F001_KI-Explore\Bohrprotokolle_Schichtenverzeichnisse\Frauenpriebnitz_1_1966</t>
  </si>
  <si>
    <t>II3-5036-2145.1967.pdf</t>
  </si>
  <si>
    <t>P:\I2535F001_KI-Explore\Bohrprotokolle_Schichtenverzeichnisse\Gotha_1_1963</t>
  </si>
  <si>
    <t>1963-3041.pdf</t>
  </si>
  <si>
    <t>625430_E_Gotha_1_1963_01.LAS</t>
  </si>
  <si>
    <t>625430_E_Gotha_1_1963_02.LAS</t>
  </si>
  <si>
    <t>GO01.LAS</t>
  </si>
  <si>
    <t>GO01_GR.LAS</t>
  </si>
  <si>
    <t>Gotha1.sdg</t>
  </si>
  <si>
    <t>Gotha_1_1963.xlsx</t>
  </si>
  <si>
    <t>P:\I2535F001_KI-Explore\Bohrprotokolle_Schichtenverzeichnisse\Gotha_2_1963</t>
  </si>
  <si>
    <t>1964-3084.pdf</t>
  </si>
  <si>
    <t>Gotha_2_1963_Log.pdf</t>
  </si>
  <si>
    <t>Gotha_2_1963_SVZ.pdf</t>
  </si>
  <si>
    <t>P:\I2535F001_KI-Explore\Bohrprotokolle_Schichtenverzeichnisse\Griefstedt_Region</t>
  </si>
  <si>
    <t>1965-2041-Anlage-1.pdf</t>
  </si>
  <si>
    <t>1965-2041-Anlage-10.pdf</t>
  </si>
  <si>
    <t>1965-2041-Anlage-11.pdf</t>
  </si>
  <si>
    <t>1965-2041-Anlage-2.pdf</t>
  </si>
  <si>
    <t>1965-2041-Anlage-3.pdf</t>
  </si>
  <si>
    <t>1965-2041-Anlage-4.pdf</t>
  </si>
  <si>
    <t>1965-2041-Anlage-5.pdf</t>
  </si>
  <si>
    <t>1965-2041-Anlage-6.pdf</t>
  </si>
  <si>
    <t>1965-2041-Anlage-7.pdf</t>
  </si>
  <si>
    <t>1965-2041-Anlage-8.pdf</t>
  </si>
  <si>
    <t>1965-2041-Anlage-9.pdf</t>
  </si>
  <si>
    <t>1965-2041.pdf</t>
  </si>
  <si>
    <t>P:\I2535F001_KI-Explore\Bohrprotokolle_Schichtenverzeichnisse\Grossbrembach_1_1973</t>
  </si>
  <si>
    <t>107349_Kal_Grossbrembach_1_1973_Geophysik_01.tif</t>
  </si>
  <si>
    <t>107349_Kal_Grossbrembach_1_1973_Geophysik_01_Teil01.tif</t>
  </si>
  <si>
    <t>107349_Kal_Grossbrembach_1_1973_Geophysik_01_Teil02.tif</t>
  </si>
  <si>
    <t>107349_Kal_Grossbrembach_1_1973_Geophysik_01_Teil03.tif</t>
  </si>
  <si>
    <t>107349_Kal_Grossbrembach_1_1973_Geophysik_01_Teil04.tif</t>
  </si>
  <si>
    <t>107349_Kal_Grossbrembach_1_1973_Geophysik_01_Teil05.tif</t>
  </si>
  <si>
    <t>107349_Kal_Grossbrembach_1_1973_Geophysik_01_Teil06.tif</t>
  </si>
  <si>
    <t>107349_Kal_Grossbrembach_1_1973_Geophysik_01_Teil07.tif</t>
  </si>
  <si>
    <t>107349_Kal_Grossbrembach_1_1973_Geophysik_01_Teil08.tif</t>
  </si>
  <si>
    <t>107349_Kal_Grossbrembach_1_1973_Geophysik_02.tif</t>
  </si>
  <si>
    <t>107349_Kal_Grossbrembach_1_1973_Geophysik_03.tif</t>
  </si>
  <si>
    <t>107349_Kal_Grossbrembach_1_1973_Geophysik_04.tif</t>
  </si>
  <si>
    <t>107349_Kal_Grossbrembach_1_1973_Geophysik_05.tif</t>
  </si>
  <si>
    <t>Grossbrembach_1_1973.pdf</t>
  </si>
  <si>
    <t>P:\I2535F001_KI-Explore\Bohrprotokolle_Schichtenverzeichnisse\Großbrembach_3_1973</t>
  </si>
  <si>
    <t>107295_Kal_Grossbrembach_3_1973_Bohrjournal.pdf</t>
  </si>
  <si>
    <t>P:\I2535F001_KI-Explore\Bohrprotokolle_Schichtenverzeichnisse\Gumperda_1_1963</t>
  </si>
  <si>
    <t>650838_Kb_Gumperda_1_1963_01.LAS</t>
  </si>
  <si>
    <t>650838_Kb_Gumperda_1_1963_02.LAS</t>
  </si>
  <si>
    <t>Gumperda1.sdg</t>
  </si>
  <si>
    <t>Gumperda_1_1963.xlsx</t>
  </si>
  <si>
    <t>P:\I2535F001_KI-Explore\Bohrprotokolle_Schichtenverzeichnisse\Günthersleben_1_1964</t>
  </si>
  <si>
    <t>1963-2994-Anlage-1.pdf</t>
  </si>
  <si>
    <t>1963-2994-Anlage-2.pdf</t>
  </si>
  <si>
    <t>1963-2994-Anlage-3.pdf</t>
  </si>
  <si>
    <t>1963-2994-Anlage-4.pdf</t>
  </si>
  <si>
    <t>1963-2994.pdf</t>
  </si>
  <si>
    <t>Günthersleben_1_1964_Log.pdf</t>
  </si>
  <si>
    <t>Günthersleben_1_1964_SVZ.pdf</t>
  </si>
  <si>
    <t>P:\I2535F001_KI-Explore\Bohrprotokolle_Schichtenverzeichnisse\Hachelbich_1_1959</t>
  </si>
  <si>
    <t>613751_Kal_Hachelbich_1_1959_Bohrjournal_01.pdf</t>
  </si>
  <si>
    <t>613751_Kal_Hachelbich_1_1959_Bohrjournal_02.pdf</t>
  </si>
  <si>
    <t>613751_Kal_Hachelbich_1_1959_Geophysik_01.jpg</t>
  </si>
  <si>
    <t>613751_Kal_Hachelbich_1_1959_Geophysik_02.jpg</t>
  </si>
  <si>
    <t>613751_Kal_Hachelbich_1_1959_Geophysik_03.jpg</t>
  </si>
  <si>
    <t>613751_Kal_Hachelbich_1_1959_Geophysik_04.jpg</t>
  </si>
  <si>
    <t>P:\I2535F001_KI-Explore\Bohrprotokolle_Schichtenverzeichnisse\Hachelbich_3_1989</t>
  </si>
  <si>
    <t>Hachelbich3.sdg</t>
  </si>
  <si>
    <t>P:\I2535F001_KI-Explore\Bohrprotokolle_Schichtenverzeichnisse\Hachelbich_3_1989\Kal_Hachelbich_3_1989</t>
  </si>
  <si>
    <t>614121_Kal Hachelbich 3_1989_REPORT_KORR.docx</t>
  </si>
  <si>
    <t>614121_Kal_Hachelbich_3_1989_Composite_KORR.las</t>
  </si>
  <si>
    <t>614121_Kal_Hachelbich_3_1989_Edit_KORR_1-1000.tif</t>
  </si>
  <si>
    <t>Hachelbich_3_1989.xlsx</t>
  </si>
  <si>
    <t>P:\I2535F001_KI-Explore\Bohrprotokolle_Schichtenverzeichnisse\Hachelbich_3_1989\Kal_Hachelbich_3_1989\Rohdaten</t>
  </si>
  <si>
    <t>614121_Kal_Hachelbich_3_1989_01.las</t>
  </si>
  <si>
    <t>P:\I2535F001_KI-Explore\Bohrprotokolle_Schichtenverzeichnisse\Hainich_Eigenrieden_1_1961</t>
  </si>
  <si>
    <t>1961-2862.pdf</t>
  </si>
  <si>
    <t>615060_E_Hainich_Eigenrieden_1_1961_01.LAS</t>
  </si>
  <si>
    <t>HainichEigenrieden1.sdg</t>
  </si>
  <si>
    <t>HainichEigenrieden_1_1961.xlsx</t>
  </si>
  <si>
    <t>Hainich_Eigenrieden_1_1961_SVZ.pdf</t>
  </si>
  <si>
    <t>P:\I2535F001_KI-Explore\Bohrprotokolle_Schichtenverzeichnisse\Hainich_Eigenrieden_2_1961</t>
  </si>
  <si>
    <t>1961-2863.pdf</t>
  </si>
  <si>
    <t>615061_E_Hainich_Eigenrieden_2_1961_01.LAS</t>
  </si>
  <si>
    <t>615061_E_Hainich_Eigenrieden_2_1961_02.LAS</t>
  </si>
  <si>
    <t>HainichEigenrieden2.sdg</t>
  </si>
  <si>
    <t>HainichEigenrieden_2_1961.xlsx</t>
  </si>
  <si>
    <t>Hainich_Eigenrieden_2_1961_Petrophysik.pdf</t>
  </si>
  <si>
    <t>Hainich_Eigenrieden_2_1961_SVZ.pdf</t>
  </si>
  <si>
    <t>P:\I2535F001_KI-Explore\Bohrprotokolle_Schichtenverzeichnisse\Hainich_Eigenrieden_3_1962</t>
  </si>
  <si>
    <t>1962-2946.pdf</t>
  </si>
  <si>
    <t>P:\I2535F001_KI-Explore\Bohrprotokolle_Schichtenverzeichnisse\Hainich_Eigenrieden_4_1962</t>
  </si>
  <si>
    <t>1961-2864.pdf</t>
  </si>
  <si>
    <t>Hainich_Eigenrieden_4_1962_Log.pdf</t>
  </si>
  <si>
    <t>Hainich_Eigenrieden_4_1962_Petrophysik.pdf</t>
  </si>
  <si>
    <t>Hainich_Eigenrieden_4_1962_SVZ.pdf</t>
  </si>
  <si>
    <t>P:\I2535F001_KI-Explore\Bohrprotokolle_Schichtenverzeichnisse\Hainich_Hallungen_1_1962</t>
  </si>
  <si>
    <t>1962-2954.pdf</t>
  </si>
  <si>
    <t>P:\I2535F001_KI-Explore\Bohrprotokolle_Schichtenverzeichnisse\Hainich_Region</t>
  </si>
  <si>
    <t>1968-2036-Anlage-1.pdf</t>
  </si>
  <si>
    <t>1968-2036-Anlage-10.pdf</t>
  </si>
  <si>
    <t>1968-2036-Anlage-11.pdf</t>
  </si>
  <si>
    <t>1968-2036-Anlage-12.pdf</t>
  </si>
  <si>
    <t>1968-2036-Anlage-13.pdf</t>
  </si>
  <si>
    <t>1968-2036-Anlage-14.pdf</t>
  </si>
  <si>
    <t>1968-2036-Anlage-15.pdf</t>
  </si>
  <si>
    <t>1968-2036-Anlage-16.pdf</t>
  </si>
  <si>
    <t>1968-2036-Anlage-17.pdf</t>
  </si>
  <si>
    <t>1968-2036-Anlage-18.pdf</t>
  </si>
  <si>
    <t>1968-2036-Anlage-19.pdf</t>
  </si>
  <si>
    <t>1968-2036-Anlage-2.pdf</t>
  </si>
  <si>
    <t>1968-2036-Anlage-20.pdf</t>
  </si>
  <si>
    <t>1968-2036-Anlage-21.pdf</t>
  </si>
  <si>
    <t>1968-2036-Anlage-22.pdf</t>
  </si>
  <si>
    <t>1968-2036-Anlage-3.pdf</t>
  </si>
  <si>
    <t>1968-2036-Anlage-4.pdf</t>
  </si>
  <si>
    <t>1968-2036-Anlage-5.pdf</t>
  </si>
  <si>
    <t>1968-2036-Anlage-6.pdf</t>
  </si>
  <si>
    <t>1968-2036-Anlage-7.pdf</t>
  </si>
  <si>
    <t>1968-2036-Anlage-8.pdf</t>
  </si>
  <si>
    <t>1968-2036-Anlage-9.pdf</t>
  </si>
  <si>
    <t>1968-2036.pdf</t>
  </si>
  <si>
    <t>P:\I2535F001_KI-Explore\Bohrprotokolle_Schichtenverzeichnisse\Hainleite_1_1963</t>
  </si>
  <si>
    <t>100781_E_Hainleite_1_1963_01.LAS</t>
  </si>
  <si>
    <t>100781_E_Hainleite_1_1963_02.LAS</t>
  </si>
  <si>
    <t>100781_E_Hainleite_1_1963_Bohrjournal.pdf</t>
  </si>
  <si>
    <t>1964-2011-Anlage-1.pdf</t>
  </si>
  <si>
    <t>1964-2011-Anlage-10.pdf</t>
  </si>
  <si>
    <t>1964-2011-Anlage-11.pdf</t>
  </si>
  <si>
    <t>1964-2011-Anlage-12.pdf</t>
  </si>
  <si>
    <t>1964-2011-Anlage-2.pdf</t>
  </si>
  <si>
    <t>1964-2011-Anlage-3.pdf</t>
  </si>
  <si>
    <t>1964-2011-Anlage-4.pdf</t>
  </si>
  <si>
    <t>1964-2011-Anlage-5.pdf</t>
  </si>
  <si>
    <t>1964-2011-Anlage-6.pdf</t>
  </si>
  <si>
    <t>1964-2011-Anlage-7.pdf</t>
  </si>
  <si>
    <t>1964-2011-Anlage-8.pdf</t>
  </si>
  <si>
    <t>1964-2011-Anlage-9.pdf</t>
  </si>
  <si>
    <t>1964-2011.pdf</t>
  </si>
  <si>
    <t>Hainleite1.sdg</t>
  </si>
  <si>
    <t>Hainleite_1_1963.xlsx</t>
  </si>
  <si>
    <t>Hainleite_1_Petrophysik.pdf</t>
  </si>
  <si>
    <t>P:\I2535F001_KI-Explore\Bohrprotokolle_Schichtenverzeichnisse\Haussömmern_1_1970</t>
  </si>
  <si>
    <t>108039_E_Haussoemmern_1_1970_Bohrjournal.pdf</t>
  </si>
  <si>
    <t>108039_E_Haussoemmern_1_1970_Geophysik_01.jpg</t>
  </si>
  <si>
    <t>108039_E_Haussoemmern_1_1970_Geophysik_02.jpg</t>
  </si>
  <si>
    <t>108039_E_Haussoemmern_1_1970_Geophysik_03.jpg</t>
  </si>
  <si>
    <t>108039_E_Haussoemmern_1_1970_Geophysik_04.jpg</t>
  </si>
  <si>
    <t>108039_E_Haussoemmern_1_1970_Geophysik_05.jpg</t>
  </si>
  <si>
    <t>1970-2858-Anlage-1.pdf</t>
  </si>
  <si>
    <t>1970-2858.pdf</t>
  </si>
  <si>
    <t>E_Haussoemmern_1_1970.pdf</t>
  </si>
  <si>
    <t>P:\I2535F001_KI-Explore\Bohrprotokolle_Schichtenverzeichnisse\Hohenwart_3_1967</t>
  </si>
  <si>
    <t>110622_COO_Hohenwart_3_1967_01.LAS</t>
  </si>
  <si>
    <t>110622_COO_Hohenwart_3_1967_02.LAS</t>
  </si>
  <si>
    <t>Hohenwart3.sdg</t>
  </si>
  <si>
    <t>Hohenwarth_3_SVZ.pdf</t>
  </si>
  <si>
    <t>Hohenwart_3_1967.xlsx</t>
  </si>
  <si>
    <t>P:\I2535F001_KI-Explore\Bohrprotokolle_Schichtenverzeichnisse\Holzsußra_2_1970</t>
  </si>
  <si>
    <t>1970-2856-Anlage-1.pdf</t>
  </si>
  <si>
    <t>1970-2856.pdf</t>
  </si>
  <si>
    <t>Holzsußra_2_1970_Log.pdf</t>
  </si>
  <si>
    <t>Holzsußra_2_1970_SVZ.pdf</t>
  </si>
  <si>
    <t>P:\I2535F001_KI-Explore\Bohrprotokolle_Schichtenverzeichnisse\Holzthaleben_2_1969</t>
  </si>
  <si>
    <t>1969-2877.pdf</t>
  </si>
  <si>
    <t>Holzthaleben_2_1969_Log.pdf</t>
  </si>
  <si>
    <t>Holzthaleben_2_1969_SVZ.pdf</t>
  </si>
  <si>
    <t>P:\I2535F001_KI-Explore\Bohrprotokolle_Schichtenverzeichnisse\Holzthaleben_3_1970</t>
  </si>
  <si>
    <t>1970-2768-Anlage-1.pdf</t>
  </si>
  <si>
    <t>1970-2768-Anlage-2.pdf</t>
  </si>
  <si>
    <t>1970-2768-Anlage-3.pdf</t>
  </si>
  <si>
    <t>1970-2768-Anlage-4.pdf</t>
  </si>
  <si>
    <t>1970-2768-Anlage-5.pdf</t>
  </si>
  <si>
    <t>1970-2768.pdf</t>
  </si>
  <si>
    <t>Holzthaleben_3_1970_Log.pdf</t>
  </si>
  <si>
    <t>Holzthaleben_3_1970_SVZ.pdf</t>
  </si>
  <si>
    <t>P:\I2535F001_KI-Explore\Bohrprotokolle_Schichtenverzeichnisse\Holzthaleben_4_1970</t>
  </si>
  <si>
    <t>1970-2853.pdf</t>
  </si>
  <si>
    <t>Holzthaleben4.sdg</t>
  </si>
  <si>
    <t>Holzthaleben_4_1970.xlsx</t>
  </si>
  <si>
    <t>Holzthaleben_4_1970_SVZ.pdf</t>
  </si>
  <si>
    <t>P:\I2535F001_KI-Explore\Bohrprotokolle_Schichtenverzeichnisse\Holzthaleben_4_1970\613467_E_Holzthaleben_4_1970</t>
  </si>
  <si>
    <t>613467_E_Holzthaleben_4_1970_Composite_KORR.las</t>
  </si>
  <si>
    <t>613467_E_Holzthaleben_4_1970_Edit_KORR_1-1000.tif</t>
  </si>
  <si>
    <t>613467_E_Holzthaleben_4_1970_REPORT.docx</t>
  </si>
  <si>
    <t>P:\I2535F001_KI-Explore\Bohrprotokolle_Schichtenverzeichnisse\Holzthaleben_4_1970\613467_E_Holzthaleben_4_1970\Rohdaten</t>
  </si>
  <si>
    <t>613467_E_Holzthaleben_4_1970_Geophysik_01.las</t>
  </si>
  <si>
    <t>P:\I2535F001_KI-Explore\Bohrprotokolle_Schichtenverzeichnisse\Holzthaleben_5_1971</t>
  </si>
  <si>
    <t>1971-2855.pdf</t>
  </si>
  <si>
    <t>613468_E_Holzthaleben_5_1971_01.LAS</t>
  </si>
  <si>
    <t>613468_E_Holzthaleben_5_1971_02.LAS</t>
  </si>
  <si>
    <t>613468_E_Holzthaleben_5_1971_03.LAS</t>
  </si>
  <si>
    <t>613468_E_Holzthaleben_5_1971_04.LAS</t>
  </si>
  <si>
    <t>Holzthaleben5.sdg</t>
  </si>
  <si>
    <t>Holzthaleben_5_1971.xlsx</t>
  </si>
  <si>
    <t>Holzthaleben_5_1971_SVZ.pdf</t>
  </si>
  <si>
    <t>P:\I2535F001_KI-Explore\Bohrprotokolle_Schichtenverzeichnisse\Ilfeld_1_1991</t>
  </si>
  <si>
    <t>113182_Hy_Ilfeld_1_1991_01.LAS</t>
  </si>
  <si>
    <t>Ilfeld1.sdg</t>
  </si>
  <si>
    <t>Ilfeld_1_1991.xlsx</t>
  </si>
  <si>
    <t>P:\I2535F001_KI-Explore\Bohrprotokolle_Schichtenverzeichnisse\Jena_Z_103_1963</t>
  </si>
  <si>
    <t>1962-2967.pdf</t>
  </si>
  <si>
    <t>Jena_Z3_1963_Log.pdf</t>
  </si>
  <si>
    <t>Jena_Z3_1963_Petrophysik.pdf</t>
  </si>
  <si>
    <t>Jena_Z3_1963_SVZ.pdf</t>
  </si>
  <si>
    <t>P:\I2535F001_KI-Explore\Bohrprotokolle_Schichtenverzeichnisse\Jena_Z_104_1962</t>
  </si>
  <si>
    <t>639210_E_Jena_Z_104_1962_01.LAS</t>
  </si>
  <si>
    <t>Jena104.sdg</t>
  </si>
  <si>
    <t>Jena_104_1962.xlsx</t>
  </si>
  <si>
    <t>P:\I2535F001_KI-Explore\Bohrprotokolle_Schichtenverzeichnisse\K-UTEC_neu</t>
  </si>
  <si>
    <t>TLUBN.zip</t>
  </si>
  <si>
    <t>P:\I2535F001_KI-Explore\Bohrprotokolle_Schichtenverzeichnisse\K-UTEC_neu\TLUBN\anfrage_2025_02_k-utec</t>
  </si>
  <si>
    <t>anfrage_250206_gt_k-utec.accdb</t>
  </si>
  <si>
    <t>Dokumente_FIS_gewässer.xlsx</t>
  </si>
  <si>
    <t>P:\I2535F001_KI-Explore\Bohrprotokolle_Schichtenverzeichnisse\K-UTEC_neu\TLUBN\anfrage_2025_02_k-utec\Aufschlussdokumente\108071</t>
  </si>
  <si>
    <t>108071_E_Straussfurt_T2_1963.zip</t>
  </si>
  <si>
    <t>108071_E_Straussfurt_T2_1963_BLM.pdf</t>
  </si>
  <si>
    <t>108071_E_Straussfurt_T2_1963_Bohrjournal.pdf</t>
  </si>
  <si>
    <t>108071_E_Straußfurt_T2-1963_Kernmarschverzeichnis.pdf</t>
  </si>
  <si>
    <t>P:\I2535F001_KI-Explore\Bohrprotokolle_Schichtenverzeichnisse\K-UTEC_neu\TLUBN\anfrage_2025_02_k-utec\Aufschlussdokumente\108071\108071_E_Straussfurt_T2_1963</t>
  </si>
  <si>
    <t>108071_E_Straussfurt_T2_1963_Composite_KORR.las</t>
  </si>
  <si>
    <t>108071_E_Straussfurt_T2_1963_Composite_SPEZ.las</t>
  </si>
  <si>
    <t>108071_E_Straussfurt_T2_1963_Edit_KORR_1-1000.tif</t>
  </si>
  <si>
    <t>108071_E_Straussfurt_T2_1963_Edit_SPEZ_1-500.tif</t>
  </si>
  <si>
    <t>108071_E_Straussfurt_T2_1963_REPORT_KORR.docx</t>
  </si>
  <si>
    <t>108071_E_Straussfurt_T2_1963_REPORT_SPEZ.docx</t>
  </si>
  <si>
    <t>P:\I2535F001_KI-Explore\Bohrprotokolle_Schichtenverzeichnisse\K-UTEC_neu\TLUBN\anfrage_2025_02_k-utec\Aufschlussdokumente\108071\108071_E_Straussfurt_T2_1963\Rohdaten</t>
  </si>
  <si>
    <t>108071_E_Straussfurt_T2_1963_Geophysik_01.las</t>
  </si>
  <si>
    <t>108071_E_Straussfurt_T2_1963_Geophysik_02.las</t>
  </si>
  <si>
    <t>108071_E_Straussfurt_T2_1963_Geophysik_03.las</t>
  </si>
  <si>
    <t>P:\I2535F001_KI-Explore\Bohrprotokolle_Schichtenverzeichnisse\K-UTEC_neu\TLUBN\anfrage_2025_02_k-utec\Aufschlussdokumente\614719</t>
  </si>
  <si>
    <t>614719_Ig_Rockensussra_2_1983_01.LAS</t>
  </si>
  <si>
    <t>614719_Ig_Rockensussra_2_1983_02.LAS</t>
  </si>
  <si>
    <t>614719_Ig_Rockensussra_2_1983_Geophysik.zip</t>
  </si>
  <si>
    <t>614719_Ig_Rockensussra_2_1983_KK863-927.pdf</t>
  </si>
  <si>
    <t>614719_Ig_Rockensussra_2_1983_SV.pdf</t>
  </si>
  <si>
    <t>Rockensussra_2-83_tloggrau.pdf</t>
  </si>
  <si>
    <t>P:\I2535F001_KI-Explore\Bohrprotokolle_Schichtenverzeichnisse\K-UTEC_neu\TLUBN\anfrage_2025_02_k-utec\Aufschlussdokumente\617598</t>
  </si>
  <si>
    <t>P:\I2535F001_KI-Explore\Bohrprotokolle_Schichtenverzeichnisse\K-UTEC_neu\TLUBN\anfrage_2025_02_k-utec\Aufschlussdokumente\620675</t>
  </si>
  <si>
    <t>P:\I2535F001_KI-Explore\Bohrprotokolle_Schichtenverzeichnisse\K-UTEC_neu\TLUBN\anfrage_2025_02_k-utec\Aufschlussdokumente\621286</t>
  </si>
  <si>
    <t>621286_E_Behringen_01_1962_Geophysik_LAS.zip</t>
  </si>
  <si>
    <t>P:\I2535F001_KI-Explore\Bohrprotokolle_Schichtenverzeichnisse\K-UTEC_neu\TLUBN\anfrage_2025_02_k-utec\Aufschlussdokumente\631937</t>
  </si>
  <si>
    <t>631937_Kb_Themar_1-1963_Kernmarschverzeichnis.pdf</t>
  </si>
  <si>
    <t>631937_Kb_Themar_1_1963_01.LAS</t>
  </si>
  <si>
    <t>631937_Kb_Themar_1_1963_02.LAS</t>
  </si>
  <si>
    <t>631937_Kb_Themar_1_1963_Geophysik.zip</t>
  </si>
  <si>
    <t>631937_Kb_Themar_1_1963_KK001-274.pdf</t>
  </si>
  <si>
    <t>Themar_01.jpg</t>
  </si>
  <si>
    <t>Themar_02.jpg</t>
  </si>
  <si>
    <t>Themar_03.jpg</t>
  </si>
  <si>
    <t>Themar_04.jpg</t>
  </si>
  <si>
    <t>Themar_05.jpg</t>
  </si>
  <si>
    <t>P:\I2535F001_KI-Explore\Bohrprotokolle_Schichtenverzeichnisse\K-UTEC_neu\TLUBN\anfrage_2025_02_k-utec\Aufschlussdokumente\661745</t>
  </si>
  <si>
    <t>661745_E_Behringen_09_1964_Geophysik_LAS.zip</t>
  </si>
  <si>
    <t>P:\I2535F001_KI-Explore\Bohrprotokolle_Schichtenverzeichnisse\K-UTEC_neu\TLUBN\anfrage_2025_02_k-utec\Aufschlussdokumente\753626</t>
  </si>
  <si>
    <t>P:\I2535F001_KI-Explore\Bohrprotokolle_Schichtenverzeichnisse\Kalbsrieth_5_1986</t>
  </si>
  <si>
    <t>Kalbsrieth5.sdg</t>
  </si>
  <si>
    <t>Kalbsrieth_5_1986.xlsx</t>
  </si>
  <si>
    <t>P:\I2535F001_KI-Explore\Bohrprotokolle_Schichtenverzeichnisse\Kalbsrieth_5_1986\634048_Cu_Kalbsrieth_5_1986</t>
  </si>
  <si>
    <t>634048_Cu Kalbsrieth 5_1986_REPORT_KORR.docx</t>
  </si>
  <si>
    <t>634048_Cu Kalbsrieth_5_1986_Composite_KORR.las</t>
  </si>
  <si>
    <t>634048_Cu_Kalbsrieth_5_1986_Edit_KORR_1-1000.tif</t>
  </si>
  <si>
    <t>P:\I2535F001_KI-Explore\Bohrprotokolle_Schichtenverzeichnisse\Kalbsrieth_5_1986\634048_Cu_Kalbsrieth_5_1986\Rohdaten</t>
  </si>
  <si>
    <t>634048_Cu Kalbsrieth_5_1986_01.las</t>
  </si>
  <si>
    <t>P:\I2535F001_KI-Explore\Bohrprotokolle_Schichtenverzeichnisse\Keula_2_1961</t>
  </si>
  <si>
    <t>1961-2860.pdf</t>
  </si>
  <si>
    <t>P:\I2535F001_KI-Explore\Bohrprotokolle_Schichtenverzeichnisse\Keula_3_1962</t>
  </si>
  <si>
    <t>Keula_3_1962_Log.pdf</t>
  </si>
  <si>
    <t>Keula_3_1962_SVZ.pdf</t>
  </si>
  <si>
    <t>P:\I2535F001_KI-Explore\Bohrprotokolle_Schichtenverzeichnisse\Keula_4_1961</t>
  </si>
  <si>
    <t>1961-2861.pdf</t>
  </si>
  <si>
    <t>Keula_4_1961_Log.pdf</t>
  </si>
  <si>
    <t>Keula_4_1961_SVZ.pdf</t>
  </si>
  <si>
    <t>P:\I2535F001_KI-Explore\Bohrprotokolle_Schichtenverzeichnisse\Kirchheilingen_10_1960</t>
  </si>
  <si>
    <t>1959-2633.pdf</t>
  </si>
  <si>
    <t>Kch10_Cali_OK_UK_G.las</t>
  </si>
  <si>
    <t>Kch10_NG.las</t>
  </si>
  <si>
    <t>Kirchheiligen10.sdg</t>
  </si>
  <si>
    <t>Kirchheiligen_10_1960.xlsx</t>
  </si>
  <si>
    <t>Kirchheilingen_10_SVZ.pdf</t>
  </si>
  <si>
    <t>P:\I2535F001_KI-Explore\Bohrprotokolle_Schichtenverzeichnisse\Kirchheilingen_14_1960</t>
  </si>
  <si>
    <t>1960-2785.pdf</t>
  </si>
  <si>
    <t>P:\I2535F001_KI-Explore\Bohrprotokolle_Schichtenverzeichnisse\Kirchheilingen_15_1960</t>
  </si>
  <si>
    <t>1960-2855.pdf</t>
  </si>
  <si>
    <t>Kirchheilingen_15_1960_SVZ.pdf</t>
  </si>
  <si>
    <t>P:\I2535F001_KI-Explore\Bohrprotokolle_Schichtenverzeichnisse\Kirchheilingen_20_1960</t>
  </si>
  <si>
    <t>Kch20_OK_UK_G_NG_GG.las</t>
  </si>
  <si>
    <t>Kirchheiligen20.sdg</t>
  </si>
  <si>
    <t>Kirchheiligen_20_1960.xlsx</t>
  </si>
  <si>
    <t>P:\I2535F001_KI-Explore\Bohrprotokolle_Schichtenverzeichnisse\Kirchheilingen_21_1960</t>
  </si>
  <si>
    <t>1960-2796.pdf</t>
  </si>
  <si>
    <t>Kch21_OK_UK_G_NG_GG.las</t>
  </si>
  <si>
    <t>Kirchheiligen21.sdg</t>
  </si>
  <si>
    <t>Kirchheiligen_21_1960.xlsx</t>
  </si>
  <si>
    <t>Kirchheilingen_21_1960_SVZ.pdf</t>
  </si>
  <si>
    <t>P:\I2535F001_KI-Explore\Bohrprotokolle_Schichtenverzeichnisse\Kirchheilingen_23_1960</t>
  </si>
  <si>
    <t>1962-2903.pdf</t>
  </si>
  <si>
    <t>Kch23_Cali.las</t>
  </si>
  <si>
    <t>Kirchheiligen23.sdg</t>
  </si>
  <si>
    <t>Kirchheiligen_23_1960.xlsx</t>
  </si>
  <si>
    <t>Kirchheilingen_23_1960.pdf</t>
  </si>
  <si>
    <t>P:\I2535F001_KI-Explore\Bohrprotokolle_Schichtenverzeichnisse\Kirchheilingen_2_1960</t>
  </si>
  <si>
    <t>1957-2435.pdf</t>
  </si>
  <si>
    <t>Kirchheilingen_2_SVZ.pdf</t>
  </si>
  <si>
    <t>P:\I2535F001_KI-Explore\Bohrprotokolle_Schichtenverzeichnisse\Kirchheilingen_35_1961</t>
  </si>
  <si>
    <t>1961-2746.pdf</t>
  </si>
  <si>
    <t>Kirchheilingen_35_1961_Log.pdf</t>
  </si>
  <si>
    <t>Kirchheilingen_35_1961_SVZ.pdf</t>
  </si>
  <si>
    <t>P:\I2535F001_KI-Explore\Bohrprotokolle_Schichtenverzeichnisse\Kirchheilingen_36_1961</t>
  </si>
  <si>
    <t>1957-2416.pdf</t>
  </si>
  <si>
    <t>P:\I2535F001_KI-Explore\Bohrprotokolle_Schichtenverzeichnisse\Kirchheilingen_4_1959</t>
  </si>
  <si>
    <t>1958-2716.pdf</t>
  </si>
  <si>
    <t>P:\I2535F001_KI-Explore\Bohrprotokolle_Schichtenverzeichnisse\Kirchheilingen_5_1960</t>
  </si>
  <si>
    <t>1958-2715.pdf</t>
  </si>
  <si>
    <t>P:\I2535F001_KI-Explore\Bohrprotokolle_Schichtenverzeichnisse\Kirchheilingen_60_1968</t>
  </si>
  <si>
    <t>1968-2918.pdf</t>
  </si>
  <si>
    <t>Kirchheilingen_60_1968_Log.pdf</t>
  </si>
  <si>
    <t>Kirchheilingen_60_1968_SVZ.pdf</t>
  </si>
  <si>
    <t>P:\I2535F001_KI-Explore\Bohrprotokolle_Schichtenverzeichnisse\Kirchheilingen_61_1968</t>
  </si>
  <si>
    <t>1968-2919.pdf</t>
  </si>
  <si>
    <t>Kirchheilingen_61_1968_Log.pdf</t>
  </si>
  <si>
    <t>Kirchheilingen_61_1968_SVZ.pdf</t>
  </si>
  <si>
    <t>P:\I2535F001_KI-Explore\Bohrprotokolle_Schichtenverzeichnisse\Kirchheilingen_63_1968</t>
  </si>
  <si>
    <t>1968-2920.pdf</t>
  </si>
  <si>
    <t>Kirchheilingen_63_1968_Log.pdf</t>
  </si>
  <si>
    <t>Kirchheilingen_63_1968_SVZ.pdf</t>
  </si>
  <si>
    <t>P:\I2535F001_KI-Explore\Bohrprotokolle_Schichtenverzeichnisse\Kirchheilingen_71_1968</t>
  </si>
  <si>
    <t>Kirchheiligen71.sdg</t>
  </si>
  <si>
    <t>Kirchheiligen_71_1968.xlsx</t>
  </si>
  <si>
    <t>P:\I2535F001_KI-Explore\Bohrprotokolle_Schichtenverzeichnisse\Kirchheilingen_71_1968\617587_E_Kirchheilingen_071_1968</t>
  </si>
  <si>
    <t>617587_E Kirchheilingen 071_1968_REPORT_KORR.docx</t>
  </si>
  <si>
    <t>617587_E_Kirchheilingen_071_1968_Composite_KORR.las</t>
  </si>
  <si>
    <t>617587_E_Kirchheilingen_071_1968_Edit_KORR_1-1000.tif</t>
  </si>
  <si>
    <t>P:\I2535F001_KI-Explore\Bohrprotokolle_Schichtenverzeichnisse\Kirchheilingen_71_1968\617587_E_Kirchheilingen_071_1968\Rohdaten</t>
  </si>
  <si>
    <t>617587_E_Kirchheilingen_071_1968_01.las</t>
  </si>
  <si>
    <t>P:\I2535F001_KI-Explore\Bohrprotokolle_Schichtenverzeichnisse\Kirchheilingen_72_1968</t>
  </si>
  <si>
    <t>1968-2914.pdf</t>
  </si>
  <si>
    <t>Kirchheilingen_72_1968_Log.pdf</t>
  </si>
  <si>
    <t>Kirchheilingen_72_1968_SVZ.pdf</t>
  </si>
  <si>
    <t>P:\I2535F001_KI-Explore\Bohrprotokolle_Schichtenverzeichnisse\Kirchheilingen_73_1968</t>
  </si>
  <si>
    <t>1968-2922.pdf</t>
  </si>
  <si>
    <t>Kirchheilingen_73_1968_Log.pdf</t>
  </si>
  <si>
    <t>Kirchheilingen_73_1968_SVZ.pdf</t>
  </si>
  <si>
    <t>P:\I2535F001_KI-Explore\Bohrprotokolle_Schichtenverzeichnisse\Kirchheilingen_74_1968</t>
  </si>
  <si>
    <t>1968-2915.pdf</t>
  </si>
  <si>
    <t>Kirchheilingen_74_1968_Log.pdf</t>
  </si>
  <si>
    <t>Kirchheilingen_74_1968_SVZ.pdf</t>
  </si>
  <si>
    <t>P:\I2535F001_KI-Explore\Bohrprotokolle_Schichtenverzeichnisse\Kirchheilingen_79_1968</t>
  </si>
  <si>
    <t>1968-2923.pdf</t>
  </si>
  <si>
    <t>Kirchheilingen_79_1968_Log.pdf</t>
  </si>
  <si>
    <t>Kirchheilingen_79_1968_SVZ.pdf</t>
  </si>
  <si>
    <t>P:\I2535F001_KI-Explore\Bohrprotokolle_Schichtenverzeichnisse\Kirchheilingen_80_1968</t>
  </si>
  <si>
    <t>1968-2916.pdf</t>
  </si>
  <si>
    <t>Kirchheilingen_80_1968_Log.pdf</t>
  </si>
  <si>
    <t>Kirchheilingen_80_1968_SVZ.pdf</t>
  </si>
  <si>
    <t>P:\I2535F001_KI-Explore\Bohrprotokolle_Schichtenverzeichnisse\Kirchheilingen_81_1969</t>
  </si>
  <si>
    <t>1969-2881.pdf</t>
  </si>
  <si>
    <t>Kirchheilingen_81_1969_Log.pdf</t>
  </si>
  <si>
    <t>Kirchheilingen_81_1969_SVZ.pdf</t>
  </si>
  <si>
    <t>P:\I2535F001_KI-Explore\Bohrprotokolle_Schichtenverzeichnisse\Kirchheilingen_83_1969</t>
  </si>
  <si>
    <t>1969-2882.pdf</t>
  </si>
  <si>
    <t>Kirchheilingen_83_1969_Log.pdf</t>
  </si>
  <si>
    <t>Kirchheilingen_83_1969_SVZ.pdf</t>
  </si>
  <si>
    <t>P:\I2535F001_KI-Explore\Bohrprotokolle_Schichtenverzeichnisse\Kirchheilingen_84_1969</t>
  </si>
  <si>
    <t>1970-2807-Anlage-1.pdf</t>
  </si>
  <si>
    <t>1970-2807.pdf</t>
  </si>
  <si>
    <t>Kirchheilingen_84_1969_Log.pdf</t>
  </si>
  <si>
    <t>Kirchheilingen_84_1969_SVZ.pdf</t>
  </si>
  <si>
    <t>P:\I2535F001_KI-Explore\Bohrprotokolle_Schichtenverzeichnisse\Krahnberg_14_1965</t>
  </si>
  <si>
    <t>1964-3080-Anlage-1.pdf</t>
  </si>
  <si>
    <t>1964-3080.pdf</t>
  </si>
  <si>
    <t>Krahnberg_14_1965_Log.pdf</t>
  </si>
  <si>
    <t>Krahnberg_14_1965_SVZ.pdf</t>
  </si>
  <si>
    <t>P:\I2535F001_KI-Explore\Bohrprotokolle_Schichtenverzeichnisse\Krahnberg_18_1965</t>
  </si>
  <si>
    <t>Krahnberg_18_1965_Log.pdf</t>
  </si>
  <si>
    <t>Krahnberg_18_1965_SVZ.pdf</t>
  </si>
  <si>
    <t>P:\I2535F001_KI-Explore\Bohrprotokolle_Schichtenverzeichnisse\Krahnberg_1_1963</t>
  </si>
  <si>
    <t>1963-2862-Anlage-1.pdf</t>
  </si>
  <si>
    <t>1963-2862-Anlage-2.pdf</t>
  </si>
  <si>
    <t>1963-2862-Anlage-3.pdf</t>
  </si>
  <si>
    <t>1963-2862.pdf</t>
  </si>
  <si>
    <t>Krahnberg_1_1963_Log.pdf</t>
  </si>
  <si>
    <t>Krahnberg_1_1963_Petrophysik.pdf</t>
  </si>
  <si>
    <t>Krahnberg_1_1963_SVZ.pdf</t>
  </si>
  <si>
    <t>P:\I2535F001_KI-Explore\Bohrprotokolle_Schichtenverzeichnisse\Krahnberg_2_1963</t>
  </si>
  <si>
    <t>1963-2860-Anlage-1.pdf</t>
  </si>
  <si>
    <t>1963-2860-Anlage-2.pdf</t>
  </si>
  <si>
    <t>1963-2860.pdf</t>
  </si>
  <si>
    <t>Krahnberg_2_1963_Log.pdf</t>
  </si>
  <si>
    <t>Krahnberg_2_1963_SVZ.pdf</t>
  </si>
  <si>
    <t>P:\I2535F001_KI-Explore\Bohrprotokolle_Schichtenverzeichnisse\Kuellstedt_2_1966</t>
  </si>
  <si>
    <t>1966-3090.pdf</t>
  </si>
  <si>
    <t>614532_E_Kuellstedt_2_1966_01.LAS</t>
  </si>
  <si>
    <t>614532_E_Kuellstedt_2_1966_02.LAS</t>
  </si>
  <si>
    <t>Küllstedt2.sdg</t>
  </si>
  <si>
    <t>Küllstedt_2_1966.xlsx</t>
  </si>
  <si>
    <t>P:\I2535F001_KI-Explore\Bohrprotokolle_Schichtenverzeichnisse\Küllstedt_Region</t>
  </si>
  <si>
    <t>1967-2045-Anlage-1.pdf</t>
  </si>
  <si>
    <t>1967-2045-Anlage-10.pdf</t>
  </si>
  <si>
    <t>1967-2045-Anlage-11.pdf</t>
  </si>
  <si>
    <t>1967-2045-Anlage-12.pdf</t>
  </si>
  <si>
    <t>1967-2045-Anlage-13.pdf</t>
  </si>
  <si>
    <t>1967-2045-Anlage-14.pdf</t>
  </si>
  <si>
    <t>1967-2045-Anlage-15.pdf</t>
  </si>
  <si>
    <t>1967-2045-Anlage-16.pdf</t>
  </si>
  <si>
    <t>1967-2045-Anlage-17.pdf</t>
  </si>
  <si>
    <t>1967-2045-Anlage-18.pdf</t>
  </si>
  <si>
    <t>1967-2045-Anlage-19.pdf</t>
  </si>
  <si>
    <t>1967-2045-Anlage-2.pdf</t>
  </si>
  <si>
    <t>1967-2045-Anlage-20.pdf</t>
  </si>
  <si>
    <t>1967-2045-Anlage-21.pdf</t>
  </si>
  <si>
    <t>1967-2045-Anlage-22.pdf</t>
  </si>
  <si>
    <t>1967-2045-Anlage-23.pdf</t>
  </si>
  <si>
    <t>1967-2045-Anlage-24.pdf</t>
  </si>
  <si>
    <t>1967-2045-Anlage-25.pdf</t>
  </si>
  <si>
    <t>1967-2045-Anlage-26.pdf</t>
  </si>
  <si>
    <t>1967-2045-Anlage-27.pdf</t>
  </si>
  <si>
    <t>1967-2045-Anlage-28.pdf</t>
  </si>
  <si>
    <t>1967-2045-Anlage-29.pdf</t>
  </si>
  <si>
    <t>1967-2045-Anlage-3.pdf</t>
  </si>
  <si>
    <t>1967-2045-Anlage-30.pdf</t>
  </si>
  <si>
    <t>1967-2045-Anlage-31.pdf</t>
  </si>
  <si>
    <t>1967-2045-Anlage-32.pdf</t>
  </si>
  <si>
    <t>1967-2045-Anlage-33.pdf</t>
  </si>
  <si>
    <t>1967-2045-Anlage-34.pdf</t>
  </si>
  <si>
    <t>1967-2045-Anlage-35.pdf</t>
  </si>
  <si>
    <t>1967-2045-Anlage-36.pdf</t>
  </si>
  <si>
    <t>1967-2045-Anlage-37.pdf</t>
  </si>
  <si>
    <t>1967-2045-Anlage-4.pdf</t>
  </si>
  <si>
    <t>1967-2045-Anlage-5.pdf</t>
  </si>
  <si>
    <t>1967-2045-Anlage-6.pdf</t>
  </si>
  <si>
    <t>1967-2045-Anlage-7.pdf</t>
  </si>
  <si>
    <t>1967-2045-Anlage-8.pdf</t>
  </si>
  <si>
    <t>1967-2045-Anlage-9.pdf</t>
  </si>
  <si>
    <t>1967-2045.pdf</t>
  </si>
  <si>
    <t>P:\I2535F001_KI-Explore\Bohrprotokolle_Schichtenverzeichnisse\Langensalza_109_1959</t>
  </si>
  <si>
    <t>1959-2703.pdf</t>
  </si>
  <si>
    <t>P:\I2535F001_KI-Explore\Bohrprotokolle_Schichtenverzeichnisse\Langensalza_110_1961</t>
  </si>
  <si>
    <t>1961-2871-Anlage-1.pdf</t>
  </si>
  <si>
    <t>1961-2871.pdf</t>
  </si>
  <si>
    <t>P:\I2535F001_KI-Explore\Bohrprotokolle_Schichtenverzeichnisse\Langensalza_112_1961</t>
  </si>
  <si>
    <t>1961-2872.pdf</t>
  </si>
  <si>
    <t>Langensalza_112_1961_Log.pdf</t>
  </si>
  <si>
    <t>Langensalza_112_1961_Petrophysik.pdf</t>
  </si>
  <si>
    <t>Langensalza_112_1961_SVZ.pdf</t>
  </si>
  <si>
    <t>P:\I2535F001_KI-Explore\Bohrprotokolle_Schichtenverzeichnisse\Langensalza_114_1965</t>
  </si>
  <si>
    <t>Langensalza_114_1965_Log.pdf</t>
  </si>
  <si>
    <t>Langensalza_114_1965_Petrophysik.pdf</t>
  </si>
  <si>
    <t>Langensalza_114_1965_SVZ.pdf</t>
  </si>
  <si>
    <t>P:\I2535F001_KI-Explore\Bohrprotokolle_Schichtenverzeichnisse\Langensalza_14_1961</t>
  </si>
  <si>
    <t>1957-2526.pdf</t>
  </si>
  <si>
    <t>Langensalza_14_1961_Log.pdf</t>
  </si>
  <si>
    <t>Langensalza_14_1961_SVZ.pdf</t>
  </si>
  <si>
    <t>P:\I2535F001_KI-Explore\Bohrprotokolle_Schichtenverzeichnisse\Langensalza_18_1958</t>
  </si>
  <si>
    <t>1958-2788.pdf</t>
  </si>
  <si>
    <t>P:\I2535F001_KI-Explore\Bohrprotokolle_Schichtenverzeichnisse\Langensalza_35_1970</t>
  </si>
  <si>
    <t>1970-2806-Anlage-1.pdf</t>
  </si>
  <si>
    <t>1970-2806.pdf</t>
  </si>
  <si>
    <t>Langensalza_35_1970_Log.pdf</t>
  </si>
  <si>
    <t>Langensalza_35_1970_SVZ.pdf</t>
  </si>
  <si>
    <t>P:\I2535F001_KI-Explore\Bohrprotokolle_Schichtenverzeichnisse\Langensalza_35_1970\Well_data</t>
  </si>
  <si>
    <t>La35_70.xlsx</t>
  </si>
  <si>
    <t>P:\I2535F001_KI-Explore\Bohrprotokolle_Schichtenverzeichnisse\Langensalza_36_1970</t>
  </si>
  <si>
    <t>1970-2857-Anlage-1.pdf</t>
  </si>
  <si>
    <t>1970-2857.pdf</t>
  </si>
  <si>
    <t>Langensalza_36_1970_Log.pdf</t>
  </si>
  <si>
    <t>Langensalza_36_1970_SVZ.pdf</t>
  </si>
  <si>
    <t>P:\I2535F001_KI-Explore\Bohrprotokolle_Schichtenverzeichnisse\Lenders_1_1964</t>
  </si>
  <si>
    <t>110013_Kal_Lenders_1_1964_01.LAS</t>
  </si>
  <si>
    <t>110013_Kal_Lenders_1_1964_02.LAS</t>
  </si>
  <si>
    <t>Lenders1.sdg</t>
  </si>
  <si>
    <t>Lenders_1_1964.xlsx</t>
  </si>
  <si>
    <t>Lenders_1_1964_SVZ.pdf</t>
  </si>
  <si>
    <t>P:\I2535F001_KI-Explore\Bohrprotokolle_Schichtenverzeichnisse\Mariengart_3_1961</t>
  </si>
  <si>
    <t>110556_COO_Mariengart_3_1961_01.LAS</t>
  </si>
  <si>
    <t>Mariengart3.sdg</t>
  </si>
  <si>
    <t>Mariengart_3_1961.xlsx</t>
  </si>
  <si>
    <t>P:\I2535F001_KI-Explore\Bohrprotokolle_Schichtenverzeichnisse\Markvippach_2_1973</t>
  </si>
  <si>
    <t>620690_Kal_Markvippach_2_1973_Bohrjournal.pdf</t>
  </si>
  <si>
    <t>620690_Kal_Markvippach_2_1973_Geophysik_01.tif</t>
  </si>
  <si>
    <t>620690_Kal_Markvippach_2_1973_Geophysik_02.tif</t>
  </si>
  <si>
    <t>620690_Kal_Markvippach_2_1973_Geophysik_03.tif</t>
  </si>
  <si>
    <t>620690_Kal_Markvippach_2_1973_Geophysik_04.tif</t>
  </si>
  <si>
    <t>Markvippach_2_1973.pdf</t>
  </si>
  <si>
    <t>P:\I2535F001_KI-Explore\Bohrprotokolle_Schichtenverzeichnisse\Martinroda_1_1988</t>
  </si>
  <si>
    <t>626819_COO_Martinroda_1_1988_01.LAS</t>
  </si>
  <si>
    <t>Martinroda1.sdg</t>
  </si>
  <si>
    <t>Martinroda_1_1988.xlsx</t>
  </si>
  <si>
    <t>P:\I2535F001_KI-Explore\Bohrprotokolle_Schichtenverzeichnisse\Mechterstädt_1_1962</t>
  </si>
  <si>
    <t>623010_E_Mechterstaedt_1_1962_01.LAS</t>
  </si>
  <si>
    <t>623010_E_Mechterstaedt_1_1962_02.LAS</t>
  </si>
  <si>
    <t>Mechterstedt_1_1963_Petrophysik.pdf</t>
  </si>
  <si>
    <t>Mechterstädt1.sdg</t>
  </si>
  <si>
    <t>Mechterstädt_1_1962.xlsx</t>
  </si>
  <si>
    <t>MTD01.LAS</t>
  </si>
  <si>
    <t>MTD01_GR.LAS</t>
  </si>
  <si>
    <t>P:\I2535F001_KI-Explore\Bohrprotokolle_Schichtenverzeichnisse\Mechterstädt_2_1963</t>
  </si>
  <si>
    <t>1962-2971.pdf</t>
  </si>
  <si>
    <t>Mechterstedt_2_1963_Log.pdf</t>
  </si>
  <si>
    <t>Mechterstedt_2_1963_Petrophysik.pdf</t>
  </si>
  <si>
    <t>Mechterstedt_2_1963_SVZ.pdf</t>
  </si>
  <si>
    <t>P:\I2535F001_KI-Explore\Bohrprotokolle_Schichtenverzeichnisse\Mechterstädt_4_1963</t>
  </si>
  <si>
    <t>1963-2991.pdf</t>
  </si>
  <si>
    <t>Mechterstedt_4_1963_Log.pdf</t>
  </si>
  <si>
    <t>Mechterstedt_4_1963_SVZ.pdf</t>
  </si>
  <si>
    <t>P:\I2535F001_KI-Explore\Bohrprotokolle_Schichtenverzeichnisse\Mechterstädt_5_1963</t>
  </si>
  <si>
    <t>1962-2969-Anlage-1.pdf</t>
  </si>
  <si>
    <t>1962-2969-Anlage-2.pdf</t>
  </si>
  <si>
    <t>1962-2969.pdf</t>
  </si>
  <si>
    <t>Mechterstedt_5_1963_Log.pdf</t>
  </si>
  <si>
    <t>Mechterstedt_5_1963_SVZ.pdf</t>
  </si>
  <si>
    <t>P:\I2535F001_KI-Explore\Bohrprotokolle_Schichtenverzeichnisse\Mehrstedt_5_1970</t>
  </si>
  <si>
    <t>1970-2770-Anlage-1.pdf</t>
  </si>
  <si>
    <t>1970-2770.pdf</t>
  </si>
  <si>
    <t>P:\I2535F001_KI-Explore\Bohrprotokolle_Schichtenverzeichnisse\Mehrstedt_6_1971</t>
  </si>
  <si>
    <t>1971-2802-Anlage-1.pdf</t>
  </si>
  <si>
    <t>1971-2802-Anlage-2.pdf</t>
  </si>
  <si>
    <t>1971-2802-Anlage-3.pdf</t>
  </si>
  <si>
    <t>1971-2802-Anlage-4.pdf</t>
  </si>
  <si>
    <t>1971-2802-Anlage-5.pdf</t>
  </si>
  <si>
    <t>1971-2802-Anlage-6.pdf</t>
  </si>
  <si>
    <t>1971-2802.pdf</t>
  </si>
  <si>
    <t>Mehrstedt_6_1971_Log.pdf</t>
  </si>
  <si>
    <t>Mehrstedt_6_1971_SVZ.pdf</t>
  </si>
  <si>
    <t>P:\I2535F001_KI-Explore\Bohrprotokolle_Schichtenverzeichnisse\Metzels_1_1964</t>
  </si>
  <si>
    <t>109356_Kb_Metzels_1_1964_01.LAS</t>
  </si>
  <si>
    <t>109356_Kb_Metzels_1_1964_02.LAS</t>
  </si>
  <si>
    <t>109356_Kb_Metzels_1_1964_03.LAS</t>
  </si>
  <si>
    <t>109356_Kb_Metzels_1_1964_04.LAS</t>
  </si>
  <si>
    <t>Metzels1.sdg</t>
  </si>
  <si>
    <t>Metzels_1_1964.xlsx</t>
  </si>
  <si>
    <t>P:\I2535F001_KI-Explore\Bohrprotokolle_Schichtenverzeichnisse\Neudietendorf_1_1962</t>
  </si>
  <si>
    <t>104247_E_Neudietendorf_1_1962_01.LAS</t>
  </si>
  <si>
    <t>Neudietendorf1.sdg</t>
  </si>
  <si>
    <t>Neudietendorf_1_1962.xlsx</t>
  </si>
  <si>
    <t>Neudietendorf_1_1962_SVZ.pdf</t>
  </si>
  <si>
    <t>P:\I2535F001_KI-Explore\Bohrprotokolle_Schichtenverzeichnisse\Neudietendorf_3_1962</t>
  </si>
  <si>
    <t>1963-2044.pdf</t>
  </si>
  <si>
    <t>623916_E_Neudietendorf_3_1962_01.LAS</t>
  </si>
  <si>
    <t>Neudietendorf3.sdg</t>
  </si>
  <si>
    <t>Neudietendorf_3_1962.xlsx</t>
  </si>
  <si>
    <t>Neudietendorf_3_1962_SVZ.pdf</t>
  </si>
  <si>
    <t>P:\I2535F001_KI-Explore\Bohrprotokolle_Schichtenverzeichnisse\Neudietendorf_4_1962</t>
  </si>
  <si>
    <t>1962-2907.pdf</t>
  </si>
  <si>
    <t>Neudietendorf_4_1962_Log.pdf</t>
  </si>
  <si>
    <t>Neudietendorf_4_1962_Petrophysik.pdf</t>
  </si>
  <si>
    <t>Neudietendorf_4_1962_SVZ.pdf</t>
  </si>
  <si>
    <t>P:\I2535F001_KI-Explore\Bohrprotokolle_Schichtenverzeichnisse\Neudietendorf_5_1963</t>
  </si>
  <si>
    <t>1962-3017.pdf</t>
  </si>
  <si>
    <t>Neudietendorf_5_1962_Log.pdf</t>
  </si>
  <si>
    <t>Neudietendorf_5_1962_SVZ.pdf</t>
  </si>
  <si>
    <t>Neudietendorf_5_1962_SVZ1.pdf</t>
  </si>
  <si>
    <t>P:\I2535F001_KI-Explore\Bohrprotokolle_Schichtenverzeichnisse\Neumark_1_1974</t>
  </si>
  <si>
    <t>659445_Kal_Neumark_1_1974_Bohrjournal.pdf</t>
  </si>
  <si>
    <t>659445_Kal_Neumark_1_1974_Geophysik_01.tif</t>
  </si>
  <si>
    <t>659445_Kal_Neumark_1_1974_Geophysik_02.tif</t>
  </si>
  <si>
    <t>659445_Kal_Neumark_1_1974_Geophysik_03.tif</t>
  </si>
  <si>
    <t>659445_Kal_Neumark_1_1974_Geophysik_04.tif</t>
  </si>
  <si>
    <t>659445_Kal_Neumark_1_1974_Geophysik_05.jpg</t>
  </si>
  <si>
    <t>659445_Kal_Neumark_1_1974_Geophysik_06.jpg</t>
  </si>
  <si>
    <t>659445_Kal_Neumark_1_1974_Geophysik_07.jpg</t>
  </si>
  <si>
    <t>659445_Kal_Neumark_1_1974_Geophysik_08.jpg</t>
  </si>
  <si>
    <t>Neumark_1_1974.pdf</t>
  </si>
  <si>
    <t>P:\I2535F001_KI-Explore\Bohrprotokolle_Schichtenverzeichnisse\Neumark_2_1974</t>
  </si>
  <si>
    <t>636737_Kal_Neumark_2_1974_Bohrjournal.pdf</t>
  </si>
  <si>
    <t>636737_Kal_Neumark_2_1974_Geophysik_01.tif</t>
  </si>
  <si>
    <t>636737_Kal_Neumark_2_1974_Geophysik_02.tif</t>
  </si>
  <si>
    <t>636737_Kal_Neumark_2_1974_Geophysik_03.tif</t>
  </si>
  <si>
    <t>636737_Kal_Neumark_2_1974_Geophysik_04.tif</t>
  </si>
  <si>
    <t>636737_Kal_Neumark_2_1974_Geophysik_05.tif</t>
  </si>
  <si>
    <t>636737_Kal_Neumark_2_1974_Geophysik_06.jpg</t>
  </si>
  <si>
    <t>636737_Kal_Neumark_2_1974_Geophysik_07.jpg</t>
  </si>
  <si>
    <t>Neumark_2_1974.pdf</t>
  </si>
  <si>
    <t>P:\I2535F001_KI-Explore\Bohrprotokolle_Schichtenverzeichnisse\Nohra_11_1978</t>
  </si>
  <si>
    <t>Nohra11.sdg</t>
  </si>
  <si>
    <t>Nohra_11_1978.xlsx</t>
  </si>
  <si>
    <t>P:\I2535F001_KI-Explore\Bohrprotokolle_Schichtenverzeichnisse\Nohra_11_1978\612503_Kal_Nohra_11_1978</t>
  </si>
  <si>
    <t>612503_Kal Nohra 11_1978_REPORT_KORR.docx</t>
  </si>
  <si>
    <t>612503_Kal Nohra 11_1978_REPORT_SPEZ.docx</t>
  </si>
  <si>
    <t>612503_Kal_Nohra_11_1978_Composite_KORR.las</t>
  </si>
  <si>
    <t>612503_Kal_Nohra_11_1978_Composite_SPEZ.las</t>
  </si>
  <si>
    <t>612503_Kal_Nohra_11_1978_Edit_KORR_1-1000.tif</t>
  </si>
  <si>
    <t>612503_Kal_Nohra_11_1978_Edit_SPEZ_1-500.tif</t>
  </si>
  <si>
    <t>P:\I2535F001_KI-Explore\Bohrprotokolle_Schichtenverzeichnisse\Nohra_11_1978\612503_Kal_Nohra_11_1978\Rohdaten</t>
  </si>
  <si>
    <t>612503_Kal_Nohra_11_1978_01.las</t>
  </si>
  <si>
    <t>612503_Kal_Nohra_11_1978_02.las</t>
  </si>
  <si>
    <t>612503_Kal_Nohra_11_1978_03.las</t>
  </si>
  <si>
    <t>612503_Kal_Nohra_11_1978_04.las</t>
  </si>
  <si>
    <t>612503_Kal_Nohra_11_1978_05.las</t>
  </si>
  <si>
    <t>612503_Kal_Nohra_11_1978_06.las</t>
  </si>
  <si>
    <t>P:\I2535F001_KI-Explore\Bohrprotokolle_Schichtenverzeichnisse\Nohra_15_1978</t>
  </si>
  <si>
    <t>612526_Kal_Nohra 15_1978_Geophysik_01.TIF</t>
  </si>
  <si>
    <t>612526_Kal_Nohra 15_1978_Geophysik_02.TIF</t>
  </si>
  <si>
    <t>P:\I2535F001_KI-Explore\Bohrprotokolle_Schichtenverzeichnisse\Nohra_16_1978</t>
  </si>
  <si>
    <t>612524_Kal_Nohra 16_1978_Geophysik_01.TIF</t>
  </si>
  <si>
    <t>612524_Kal_Nohra 16_1978_Geophysik_02.TIF</t>
  </si>
  <si>
    <t>612524_Kal_Nohra 16_1978_Geophysik_03.TIF</t>
  </si>
  <si>
    <t>612524_Kal_Nohra 16_1978_Geophysik_04.TIF</t>
  </si>
  <si>
    <t>612524_Kal_Nohra 16_1978_Geophysik_05.TIF</t>
  </si>
  <si>
    <t>612524_Kal_Nohra 16_1978_Geophysik_06.TIF</t>
  </si>
  <si>
    <t>612524_Kal_Nohra 16_1978_Geophysik_07.TIF</t>
  </si>
  <si>
    <t>612524_Kal_Nohra 16_1978_Geophysik_08.TIF</t>
  </si>
  <si>
    <t>612524_Kal_Nohra 16_1978_Geophysik_09.TIF</t>
  </si>
  <si>
    <t>Nohra_16_1978.pdf</t>
  </si>
  <si>
    <t>P:\I2535F001_KI-Explore\Bohrprotokolle_Schichtenverzeichnisse\Nohra_Elende_Region</t>
  </si>
  <si>
    <t>1980-2026.pdf</t>
  </si>
  <si>
    <t>P:\I2535F001_KI-Explore\Bohrprotokolle_Schichtenverzeichnisse\Oberhof_1_1962</t>
  </si>
  <si>
    <t>110186_Kb_Oberhof_1_1962_01.LAS</t>
  </si>
  <si>
    <t>Oberhof1.sdg</t>
  </si>
  <si>
    <t>Oberhof_1_1962.xlsx</t>
  </si>
  <si>
    <t>P:\I2535F001_KI-Explore\Bohrprotokolle_Schichtenverzeichnisse\Obermehler_Saalfeld_Urbach_Region</t>
  </si>
  <si>
    <t>1968-2032-Anlage-1.pdf</t>
  </si>
  <si>
    <t>1968-2032-Anlage-10.pdf</t>
  </si>
  <si>
    <t>1968-2032-Anlage-11.pdf</t>
  </si>
  <si>
    <t>1968-2032-Anlage-12.pdf</t>
  </si>
  <si>
    <t>1968-2032-Anlage-13.pdf</t>
  </si>
  <si>
    <t>1968-2032-Anlage-14.pdf</t>
  </si>
  <si>
    <t>1968-2032-Anlage-15.pdf</t>
  </si>
  <si>
    <t>1968-2032-Anlage-16.pdf</t>
  </si>
  <si>
    <t>1968-2032-Anlage-17.pdf</t>
  </si>
  <si>
    <t>1968-2032-Anlage-18.pdf</t>
  </si>
  <si>
    <t>1968-2032-Anlage-19.pdf</t>
  </si>
  <si>
    <t>1968-2032-Anlage-2.pdf</t>
  </si>
  <si>
    <t>1968-2032-Anlage-20.pdf</t>
  </si>
  <si>
    <t>1968-2032-Anlage-21.pdf</t>
  </si>
  <si>
    <t>1968-2032-Anlage-22.pdf</t>
  </si>
  <si>
    <t>1968-2032-Anlage-3.pdf</t>
  </si>
  <si>
    <t>1968-2032-Anlage-4.pdf</t>
  </si>
  <si>
    <t>1968-2032-Anlage-5.pdf</t>
  </si>
  <si>
    <t>1968-2032-Anlage-6.pdf</t>
  </si>
  <si>
    <t>1968-2032-Anlage-7.pdf</t>
  </si>
  <si>
    <t>1968-2032-Anlage-8.pdf</t>
  </si>
  <si>
    <t>1968-2032-Anlage-9.pdf</t>
  </si>
  <si>
    <t>1968-2032.pdf</t>
  </si>
  <si>
    <t>P:\I2535F001_KI-Explore\Bohrprotokolle_Schichtenverzeichnisse\Oechsen_3_1962</t>
  </si>
  <si>
    <t>110198_COO_Oechsen_03_1962_SV.pdf</t>
  </si>
  <si>
    <t>P:\I2535F001_KI-Explore\Bohrprotokolle_Schichtenverzeichnisse\Ohmgebirge_1_1961</t>
  </si>
  <si>
    <t>612293_E_Ohmgebirge_1_1961_01.LAS</t>
  </si>
  <si>
    <t>612293_E_Ohmgebirge_1_1961_02.LAS</t>
  </si>
  <si>
    <t>Ohmgebirge1.sdg</t>
  </si>
  <si>
    <t>Ohmgebirge_1_1961.xlsx</t>
  </si>
  <si>
    <t>Ohmgebirge_1_1965_SVZ.pdf</t>
  </si>
  <si>
    <t>P:\I2535F001_KI-Explore\Bohrprotokolle_Schichtenverzeichnisse\Ponitz_1_1960</t>
  </si>
  <si>
    <t>102933_Kb_Ponitz_1_1960_01.LAS</t>
  </si>
  <si>
    <t>102933_Kb_Ponitz_1_1960_02.LAS</t>
  </si>
  <si>
    <t>Ponitz1.sdg</t>
  </si>
  <si>
    <t>Ponitz_1_1960.xlsx</t>
  </si>
  <si>
    <t>P:\I2535F001_KI-Explore\Bohrprotokolle_Schichtenverzeichnisse\Ramsla_3_1973</t>
  </si>
  <si>
    <t>641231_Kal_Ramsla_3_1973_Bohrjournal.pdf</t>
  </si>
  <si>
    <t>641231_Kal_Ramsla_3_1973_Geophysik_01.jpg</t>
  </si>
  <si>
    <t>641231_Kal_Ramsla_3_1973_Geophysik_02.jpg</t>
  </si>
  <si>
    <t>641231_Kal_Ramsla_3_1973_Geophysik_03.jpg</t>
  </si>
  <si>
    <t>641231_Kal_Ramsla_3_1973_Geophysik_04.jpg</t>
  </si>
  <si>
    <t>641231_Kal_Ramsla_3_1973_Geophysik_05.jpg</t>
  </si>
  <si>
    <t>641231_Kal_Ramsla_3_1973_Geophysik_06.pdf</t>
  </si>
  <si>
    <t>Ramsla_3_1973.pdf</t>
  </si>
  <si>
    <t>P:\I2535F001_KI-Explore\Bohrprotokolle_Schichtenverzeichnisse\Ramsla_4_1974</t>
  </si>
  <si>
    <t>639012_Kal_Ramsla_4_1974_Geophysik.pdf</t>
  </si>
  <si>
    <t>639012_Kal_Ramsla_4_1974_Geophysik_01.jpg</t>
  </si>
  <si>
    <t>639012_Kal_Ramsla_4_1974_Geophysik_02.jpg</t>
  </si>
  <si>
    <t>639012_Kal_Ramsla_4_1974_Geophysik_03.jpg</t>
  </si>
  <si>
    <t>639012_Kal_Ramsla_4_1974_Geophysik_04.jpg</t>
  </si>
  <si>
    <t>639012_Kal_Ramsla_4_1974_Geophysik_05.jpg</t>
  </si>
  <si>
    <t>639012_Kal_Ramsla_4_1974_Geophysik_06.jpg</t>
  </si>
  <si>
    <t>Ramsla_4_1974.pdf</t>
  </si>
  <si>
    <t>P:\I2535F001_KI-Explore\Bohrprotokolle_Schichtenverzeichnisse\Rentwertshausen_1_1965</t>
  </si>
  <si>
    <t>111946_E_Rentwertshausen_1_1965_01.LAS</t>
  </si>
  <si>
    <t>1966-3056-Anlage-1.pdf</t>
  </si>
  <si>
    <t>1966-3056-Anlage-2.pdf</t>
  </si>
  <si>
    <t>1966-3056-Anlage-3.pdf</t>
  </si>
  <si>
    <t>1966-3056.pdf</t>
  </si>
  <si>
    <t>Rentwertshausen1.sdg</t>
  </si>
  <si>
    <t>Rentwertshausen_1_1965.xlsx</t>
  </si>
  <si>
    <t>P:\I2535F001_KI-Explore\Bohrprotokolle_Schichtenverzeichnisse\Rockensußra_2_1983\Well_data</t>
  </si>
  <si>
    <t>Rockensußra2_83.txt</t>
  </si>
  <si>
    <t>Rockensußra2_83.xlsx</t>
  </si>
  <si>
    <t>P:\I2535F001_KI-Explore\Bohrprotokolle_Schichtenverzeichnisse\Rockensußra_2_1983\Well_data\Rockensußra_2_83</t>
  </si>
  <si>
    <t>Ig Rockensußra 2_1983.XML</t>
  </si>
  <si>
    <t>IG_Rockensußra_2_1983_SV_kurz.pdf</t>
  </si>
  <si>
    <t>II2-4730-2418_1984_IV.pdf</t>
  </si>
  <si>
    <t>II2-4730-2418_1984_S_001-389.pdf</t>
  </si>
  <si>
    <t>II2-4730-2418_1984_S_472-477.pdf</t>
  </si>
  <si>
    <t>II2-4730-2418_1984_S_484-491.pdf</t>
  </si>
  <si>
    <t>II2-4730-2418_1984_S_492-529.pdf</t>
  </si>
  <si>
    <t>Rockensußra2_83.pdf</t>
  </si>
  <si>
    <t>P:\I2535F001_KI-Explore\Bohrprotokolle_Schichtenverzeichnisse\Rockensußra_2_1983\Well_data\Rockensußra_2_83\BKF</t>
  </si>
  <si>
    <t>.RData</t>
  </si>
  <si>
    <t>614719_Ig_Rockensussra_2_1983_KK001-475.pdf</t>
  </si>
  <si>
    <t>614719_Ig_Rockensussra_2_1983_KK203-322.pdf</t>
  </si>
  <si>
    <t>614719_Ig_Rockensussra_2_1983_KK476-864.pdf</t>
  </si>
  <si>
    <t>RKS2_197.png</t>
  </si>
  <si>
    <t>RKS2_198.png</t>
  </si>
  <si>
    <t>RKS2_199.png</t>
  </si>
  <si>
    <t>RKS2_200.png</t>
  </si>
  <si>
    <t>RKS2_201.png</t>
  </si>
  <si>
    <t>RKS2_202.png</t>
  </si>
  <si>
    <t>RKS2_323.png</t>
  </si>
  <si>
    <t>RKS2_324.png</t>
  </si>
  <si>
    <t>RKS2_325.png</t>
  </si>
  <si>
    <t>RKS2_326.png</t>
  </si>
  <si>
    <t>RKS2_327.png</t>
  </si>
  <si>
    <t>RKS2_328.png</t>
  </si>
  <si>
    <t>RKS2_329.png</t>
  </si>
  <si>
    <t>RKS2_330.png</t>
  </si>
  <si>
    <t>RKS2_331.png</t>
  </si>
  <si>
    <t>RKS2_332.png</t>
  </si>
  <si>
    <t>RKS2_333.png</t>
  </si>
  <si>
    <t>RKS2_334.png</t>
  </si>
  <si>
    <t>RKS2_335.png</t>
  </si>
  <si>
    <t>RKS2_336.png</t>
  </si>
  <si>
    <t>RKS2_337.png</t>
  </si>
  <si>
    <t>RKS2_338.png</t>
  </si>
  <si>
    <t>RKS2_339.png</t>
  </si>
  <si>
    <t>RKS2_340.png</t>
  </si>
  <si>
    <t>RKS2_341.png</t>
  </si>
  <si>
    <t>RKS2_342.png</t>
  </si>
  <si>
    <t>RKS2_343.png</t>
  </si>
  <si>
    <t>RKS2_344.png</t>
  </si>
  <si>
    <t>RKS2_345.png</t>
  </si>
  <si>
    <t>RKS2_346.png</t>
  </si>
  <si>
    <t>RKS2_347.png</t>
  </si>
  <si>
    <t>RKS2_348.png</t>
  </si>
  <si>
    <t>RKS2_349.png</t>
  </si>
  <si>
    <t>RKS2_350.png</t>
  </si>
  <si>
    <t>RKS2_351.png</t>
  </si>
  <si>
    <t>RKS2_352.png</t>
  </si>
  <si>
    <t>RKS2_353.png</t>
  </si>
  <si>
    <t>RKS2_354.png</t>
  </si>
  <si>
    <t>RKS2_355.png</t>
  </si>
  <si>
    <t>RKS2_356.png</t>
  </si>
  <si>
    <t>RKS2_357.png</t>
  </si>
  <si>
    <t>RKS2_358.png</t>
  </si>
  <si>
    <t>RKS2_359.png</t>
  </si>
  <si>
    <t>RKS2_360.png</t>
  </si>
  <si>
    <t>RKS2_361.png</t>
  </si>
  <si>
    <t>RKS2_362.png</t>
  </si>
  <si>
    <t>RKS2_363.png</t>
  </si>
  <si>
    <t>RKS2_364.png</t>
  </si>
  <si>
    <t>RKS2_365.png</t>
  </si>
  <si>
    <t>RKS2_366.png</t>
  </si>
  <si>
    <t>RKS2_367.png</t>
  </si>
  <si>
    <t>RKS2_368.png</t>
  </si>
  <si>
    <t>RKS2_369.png</t>
  </si>
  <si>
    <t>RKS2_370.png</t>
  </si>
  <si>
    <t>RKS2_371.png</t>
  </si>
  <si>
    <t>RKS2_372.png</t>
  </si>
  <si>
    <t>RKS2_373.png</t>
  </si>
  <si>
    <t>RKS2_374.png</t>
  </si>
  <si>
    <t>RKS2_375.png</t>
  </si>
  <si>
    <t>RKS2_376.png</t>
  </si>
  <si>
    <t>RKS2_377.png</t>
  </si>
  <si>
    <t>RKS2_378.png</t>
  </si>
  <si>
    <t>RKS2_379.png</t>
  </si>
  <si>
    <t>RKS2_380.png</t>
  </si>
  <si>
    <t>RKS2_381.png</t>
  </si>
  <si>
    <t>RKS2_382.png</t>
  </si>
  <si>
    <t>RKS2_383.png</t>
  </si>
  <si>
    <t>RKS2_384.png</t>
  </si>
  <si>
    <t>RKS2_385.png</t>
  </si>
  <si>
    <t>RKS2_386.png</t>
  </si>
  <si>
    <t>RKS2_387.png</t>
  </si>
  <si>
    <t>RKS2_388.png</t>
  </si>
  <si>
    <t>RKS2_389.png</t>
  </si>
  <si>
    <t>RKS2_390.png</t>
  </si>
  <si>
    <t>RKS2_391.png</t>
  </si>
  <si>
    <t>RKS2_392.png</t>
  </si>
  <si>
    <t>RKS2_393.png</t>
  </si>
  <si>
    <t>RKS2_394.png</t>
  </si>
  <si>
    <t>RKS2_395.png</t>
  </si>
  <si>
    <t>RKS2_396.png</t>
  </si>
  <si>
    <t>RKS2_397.png</t>
  </si>
  <si>
    <t>RKS2_398.png</t>
  </si>
  <si>
    <t>RKS2_399.png</t>
  </si>
  <si>
    <t>RKS2_400.png</t>
  </si>
  <si>
    <t>RKS2_401.png</t>
  </si>
  <si>
    <t>RKS2_402.png</t>
  </si>
  <si>
    <t>RKS2_403.png</t>
  </si>
  <si>
    <t>RKS2_404.png</t>
  </si>
  <si>
    <t>RKS2_405.png</t>
  </si>
  <si>
    <t>RKS2_406.png</t>
  </si>
  <si>
    <t>RKS2_407.png</t>
  </si>
  <si>
    <t>RKS2_408.png</t>
  </si>
  <si>
    <t>RKS2_409.png</t>
  </si>
  <si>
    <t>RKS2_410.png</t>
  </si>
  <si>
    <t>RKS2_411.png</t>
  </si>
  <si>
    <t>RKS2_412.png</t>
  </si>
  <si>
    <t>RKS2_413.png</t>
  </si>
  <si>
    <t>RKS2_414.png</t>
  </si>
  <si>
    <t>RKS2_415.png</t>
  </si>
  <si>
    <t>RKS2_416.png</t>
  </si>
  <si>
    <t>RKS2_417.png</t>
  </si>
  <si>
    <t>RKS2_418.png</t>
  </si>
  <si>
    <t>RKS2_419.png</t>
  </si>
  <si>
    <t>RKS2_420.png</t>
  </si>
  <si>
    <t>RKS2_421.png</t>
  </si>
  <si>
    <t>RKS2_422.png</t>
  </si>
  <si>
    <t>RKS2_423.png</t>
  </si>
  <si>
    <t>RKS2_424.png</t>
  </si>
  <si>
    <t>RKS2_425.png</t>
  </si>
  <si>
    <t>RKS2_426.png</t>
  </si>
  <si>
    <t>RKS2_427.png</t>
  </si>
  <si>
    <t>RKS2_428.png</t>
  </si>
  <si>
    <t>RKS2_429.png</t>
  </si>
  <si>
    <t>RKS2_430.png</t>
  </si>
  <si>
    <t>RKS2_431.png</t>
  </si>
  <si>
    <t>RKS2_432.png</t>
  </si>
  <si>
    <t>RKS2_433.png</t>
  </si>
  <si>
    <t>RKS2_434.png</t>
  </si>
  <si>
    <t>RKS2_435.png</t>
  </si>
  <si>
    <t>RKS2_436.png</t>
  </si>
  <si>
    <t>RKS2_437.png</t>
  </si>
  <si>
    <t>RKS2_438.png</t>
  </si>
  <si>
    <t>RKS2_439.png</t>
  </si>
  <si>
    <t>RKS2_440.png</t>
  </si>
  <si>
    <t>RKS2_441.png</t>
  </si>
  <si>
    <t>RKS2_442.png</t>
  </si>
  <si>
    <t>RKS2_443.png</t>
  </si>
  <si>
    <t>RKS2_444.png</t>
  </si>
  <si>
    <t>RKS2_445.png</t>
  </si>
  <si>
    <t>RKS2_446.png</t>
  </si>
  <si>
    <t>RKS2_447.png</t>
  </si>
  <si>
    <t>RKS2_448.png</t>
  </si>
  <si>
    <t>RKS2_449.png</t>
  </si>
  <si>
    <t>RKS2_450.png</t>
  </si>
  <si>
    <t>RKS2_451.png</t>
  </si>
  <si>
    <t>RKS2_452.png</t>
  </si>
  <si>
    <t>RKS2_453.png</t>
  </si>
  <si>
    <t>RKS2_454.png</t>
  </si>
  <si>
    <t>RKS2_455.png</t>
  </si>
  <si>
    <t>RKS2_456.png</t>
  </si>
  <si>
    <t>RKS2_457.png</t>
  </si>
  <si>
    <t>RKS2_458.png</t>
  </si>
  <si>
    <t>RKS2_459.png</t>
  </si>
  <si>
    <t>RKS2_460.png</t>
  </si>
  <si>
    <t>RKS2_461.png</t>
  </si>
  <si>
    <t>RKS2_462.png</t>
  </si>
  <si>
    <t>RKS2_463.png</t>
  </si>
  <si>
    <t>RKS2_464.png</t>
  </si>
  <si>
    <t>RKS2_465.png</t>
  </si>
  <si>
    <t>RKS2_466.png</t>
  </si>
  <si>
    <t>RKS2_467.png</t>
  </si>
  <si>
    <t>RKS2_468.png</t>
  </si>
  <si>
    <t>RKS2_469.png</t>
  </si>
  <si>
    <t>RKS2_470.png</t>
  </si>
  <si>
    <t>RKS2_471.png</t>
  </si>
  <si>
    <t>RKS2_472.png</t>
  </si>
  <si>
    <t>RKS2_473.png</t>
  </si>
  <si>
    <t>RKS2_474.png</t>
  </si>
  <si>
    <t>RKS2_475.png</t>
  </si>
  <si>
    <t>RKS2_476.png</t>
  </si>
  <si>
    <t>RKS2_477.png</t>
  </si>
  <si>
    <t>RKS2_478.png</t>
  </si>
  <si>
    <t>RKS2_479.png</t>
  </si>
  <si>
    <t>RKS2_480.png</t>
  </si>
  <si>
    <t>RKS2_481.png</t>
  </si>
  <si>
    <t>RKS2_482.png</t>
  </si>
  <si>
    <t>RKS2_483.png</t>
  </si>
  <si>
    <t>RKS2_484.png</t>
  </si>
  <si>
    <t>RKS2_485.png</t>
  </si>
  <si>
    <t>RKS2_486.png</t>
  </si>
  <si>
    <t>RKS2_487.png</t>
  </si>
  <si>
    <t>RKS2_488.png</t>
  </si>
  <si>
    <t>RKS2_489.png</t>
  </si>
  <si>
    <t>RKS2_490.png</t>
  </si>
  <si>
    <t>RKS2_491.png</t>
  </si>
  <si>
    <t>RKS2_492.png</t>
  </si>
  <si>
    <t>RKS2_493.png</t>
  </si>
  <si>
    <t>RKS2_494.png</t>
  </si>
  <si>
    <t>RKS2_495.png</t>
  </si>
  <si>
    <t>RKS2_496.png</t>
  </si>
  <si>
    <t>RKS2_497.png</t>
  </si>
  <si>
    <t>RKS2_498.png</t>
  </si>
  <si>
    <t>RKS2_499.png</t>
  </si>
  <si>
    <t>RKS2_500.png</t>
  </si>
  <si>
    <t>RKS2_501.png</t>
  </si>
  <si>
    <t>RKS2_502.png</t>
  </si>
  <si>
    <t>RKS2_503.png</t>
  </si>
  <si>
    <t>RKS2_504.png</t>
  </si>
  <si>
    <t>RKS2_505.png</t>
  </si>
  <si>
    <t>RKS2_506.png</t>
  </si>
  <si>
    <t>RKS2_507.png</t>
  </si>
  <si>
    <t>RKS2_508.png</t>
  </si>
  <si>
    <t>RKS2_509.png</t>
  </si>
  <si>
    <t>RKS2_510.png</t>
  </si>
  <si>
    <t>RKS2_511.png</t>
  </si>
  <si>
    <t>RKS2_512.png</t>
  </si>
  <si>
    <t>RKS2_513.png</t>
  </si>
  <si>
    <t>RKS2_514.png</t>
  </si>
  <si>
    <t>RKS2_515.png</t>
  </si>
  <si>
    <t>RKS2_516.png</t>
  </si>
  <si>
    <t>RKS2_517.png</t>
  </si>
  <si>
    <t>RKS2_518.png</t>
  </si>
  <si>
    <t>RKS2_519.png</t>
  </si>
  <si>
    <t>RKS2_520.png</t>
  </si>
  <si>
    <t>RKS2_521.png</t>
  </si>
  <si>
    <t>RKS2_522.png</t>
  </si>
  <si>
    <t>RKS2_523.png</t>
  </si>
  <si>
    <t>RKS2_524.png</t>
  </si>
  <si>
    <t>RKS2_525.png</t>
  </si>
  <si>
    <t>RKS2_526.png</t>
  </si>
  <si>
    <t>RKS2_527.png</t>
  </si>
  <si>
    <t>RKS2_528.png</t>
  </si>
  <si>
    <t>RKS2_529.png</t>
  </si>
  <si>
    <t>RKS2_530.png</t>
  </si>
  <si>
    <t>RKS2_531.png</t>
  </si>
  <si>
    <t>RKS2_532.png</t>
  </si>
  <si>
    <t>RKS2_533.png</t>
  </si>
  <si>
    <t>RKS2_534.png</t>
  </si>
  <si>
    <t>RKS2_535.png</t>
  </si>
  <si>
    <t>RKS2_536.png</t>
  </si>
  <si>
    <t>RKS2_537.png</t>
  </si>
  <si>
    <t>RKS2_538.png</t>
  </si>
  <si>
    <t>RKS2_539.png</t>
  </si>
  <si>
    <t>RKS2_540.png</t>
  </si>
  <si>
    <t>RKS2_541.png</t>
  </si>
  <si>
    <t>RKS2_542.png</t>
  </si>
  <si>
    <t>RKS2_543.png</t>
  </si>
  <si>
    <t>RKS2_544.png</t>
  </si>
  <si>
    <t>RKS2_545.png</t>
  </si>
  <si>
    <t>RKS2_546.png</t>
  </si>
  <si>
    <t>RKS2_547.png</t>
  </si>
  <si>
    <t>RKS2_548.png</t>
  </si>
  <si>
    <t>RKS2_549.png</t>
  </si>
  <si>
    <t>RKS2_550.png</t>
  </si>
  <si>
    <t>RKS2_551.png</t>
  </si>
  <si>
    <t>RKS2_552.png</t>
  </si>
  <si>
    <t>RKS2_553.png</t>
  </si>
  <si>
    <t>RKS2_554.png</t>
  </si>
  <si>
    <t>RKS2_555.png</t>
  </si>
  <si>
    <t>RKS2_556.png</t>
  </si>
  <si>
    <t>RKS2_557.png</t>
  </si>
  <si>
    <t>RKS2_558.png</t>
  </si>
  <si>
    <t>RKS2_559.png</t>
  </si>
  <si>
    <t>RKS2_560.png</t>
  </si>
  <si>
    <t>RKS2_561.png</t>
  </si>
  <si>
    <t>RKS2_562.png</t>
  </si>
  <si>
    <t>RKS2_563.png</t>
  </si>
  <si>
    <t>RKS2_564.png</t>
  </si>
  <si>
    <t>RKS2_565.png</t>
  </si>
  <si>
    <t>RKS2_566.png</t>
  </si>
  <si>
    <t>RKS2_567.png</t>
  </si>
  <si>
    <t>RKS2_568.png</t>
  </si>
  <si>
    <t>RKS2_569.png</t>
  </si>
  <si>
    <t>RKS2_570.png</t>
  </si>
  <si>
    <t>RKS2_571.png</t>
  </si>
  <si>
    <t>RKS2_572.png</t>
  </si>
  <si>
    <t>RKS2_573.png</t>
  </si>
  <si>
    <t>RKS2_574.png</t>
  </si>
  <si>
    <t>RKS2_575.png</t>
  </si>
  <si>
    <t>RKS2_576.png</t>
  </si>
  <si>
    <t>RKS2_577.png</t>
  </si>
  <si>
    <t>RKS2_578.png</t>
  </si>
  <si>
    <t>RKS2_579.png</t>
  </si>
  <si>
    <t>RKS2_580.png</t>
  </si>
  <si>
    <t>RKS2_581.png</t>
  </si>
  <si>
    <t>RKS_2_Picturestitch.R</t>
  </si>
  <si>
    <t>P:\I2535F001_KI-Explore\Bohrprotokolle_Schichtenverzeichnisse\Rockensußra_2_1983\Well_data\Rockensußra_2_83\temp1</t>
  </si>
  <si>
    <t>P:\I2535F001_KI-Explore\Bohrprotokolle_Schichtenverzeichnisse\Rockensußra_2_1983\Well_data\Rockensußra_2_83\temp2</t>
  </si>
  <si>
    <t>P:\I2535F001_KI-Explore\Bohrprotokolle_Schichtenverzeichnisse\Rockensußra_2_1983\Well_data\Rockensußra_2_83\temp3</t>
  </si>
  <si>
    <t>P:\I2535F001_KI-Explore\Bohrprotokolle_Schichtenverzeichnisse\Rockensußra_2_1983\Well_data\Rockensußra_2_83\temp4</t>
  </si>
  <si>
    <t>P:\I2535F001_KI-Explore\Bohrprotokolle_Schichtenverzeichnisse\Rockensußra_2_1983\Well_data\Rockensußra_2_83\temp5</t>
  </si>
  <si>
    <t>P:\I2535F001_KI-Explore\Bohrprotokolle_Schichtenverzeichnisse\Rockensußra_2_1983\Well_data\Rockensußra_2_83\temp_gesamt</t>
  </si>
  <si>
    <t>gesamt.png</t>
  </si>
  <si>
    <t>gesamt_1.png</t>
  </si>
  <si>
    <t>gesamt_2.png</t>
  </si>
  <si>
    <t>gesamt_3.png</t>
  </si>
  <si>
    <t>gesamt_4.png</t>
  </si>
  <si>
    <t>gesamt_5.png</t>
  </si>
  <si>
    <t>P:\I2535F001_KI-Explore\Bohrprotokolle_Schichtenverzeichnisse\Rockensußra_2_1983\Well_dokumentation</t>
  </si>
  <si>
    <t>RKS2_83.pdf</t>
  </si>
  <si>
    <t>P:\I2535F001_KI-Explore\Bohrprotokolle_Schichtenverzeichnisse\Rockensußra_2_1983\Well_dokumentation\Strater</t>
  </si>
  <si>
    <t>RKS2_83.sdg</t>
  </si>
  <si>
    <t>P:\I2535F001_KI-Explore\Bohrprotokolle_Schichtenverzeichnisse\Rockensußra_4_1969</t>
  </si>
  <si>
    <t>1969-2031-Anlage-1.pdf</t>
  </si>
  <si>
    <t>1969-2031-Anlage-2.pdf</t>
  </si>
  <si>
    <t>1969-2031-Anlage-3.pdf</t>
  </si>
  <si>
    <t>1969-2031-Anlage-4.pdf</t>
  </si>
  <si>
    <t>1969-2031-Anlage-5.pdf</t>
  </si>
  <si>
    <t>1969-2031.pdf</t>
  </si>
  <si>
    <t>Rockensußra_4_1969_Log.pdf</t>
  </si>
  <si>
    <t>Rockensußra_4_1969_SVZ.pdf</t>
  </si>
  <si>
    <t>P:\I2535F001_KI-Explore\Bohrprotokolle_Schichtenverzeichnisse\Rockensußra_5_1969</t>
  </si>
  <si>
    <t>1969-2811-Anlage-1.pdf</t>
  </si>
  <si>
    <t>1969-2811.pdf</t>
  </si>
  <si>
    <t>Rockensußra_5_1969_Log.pdf</t>
  </si>
  <si>
    <t>Rockensußra_5_1969_Petrophysik.pdf</t>
  </si>
  <si>
    <t>Rockensußra_5_1969_SVZ.pdf</t>
  </si>
  <si>
    <t>P:\I2535F001_KI-Explore\Bohrprotokolle_Schichtenverzeichnisse\Rockensußra_6_1969</t>
  </si>
  <si>
    <t>1970-2798-Anlage-1.pdf</t>
  </si>
  <si>
    <t>1970-2798-Anlage-2.pdf</t>
  </si>
  <si>
    <t>1970-2798-Anlage-3.pdf</t>
  </si>
  <si>
    <t>1970-2798.pdf</t>
  </si>
  <si>
    <t>Rockensußra_6_1969_Log.pdf</t>
  </si>
  <si>
    <t>Rockensußra_6_1969_SVZ.pdf</t>
  </si>
  <si>
    <t>P:\I2535F001_KI-Explore\Bohrprotokolle_Schichtenverzeichnisse\Rockensußra_8_1970</t>
  </si>
  <si>
    <t>1971-2797.pdf</t>
  </si>
  <si>
    <t>614711_E_Rockensussra_8_1971_01.TIF</t>
  </si>
  <si>
    <t>614711_E_Rockensussra_8_1971_02.TIF</t>
  </si>
  <si>
    <t>Rockensußra_8_1970.pdf</t>
  </si>
  <si>
    <t>Rockensußra_8_1970_SVZ.pdf</t>
  </si>
  <si>
    <t>P:\I2535F001_KI-Explore\Bohrprotokolle_Schichtenverzeichnisse\Roldisleben_1_1962</t>
  </si>
  <si>
    <t>108065_E_Roldisleben_1_1962_01.LAS</t>
  </si>
  <si>
    <t>108065_E_Roldisleben_1_1962_Bohrjournal.pdf</t>
  </si>
  <si>
    <t>1962-2901.pdf</t>
  </si>
  <si>
    <t>Roldisleben1.sdg</t>
  </si>
  <si>
    <t>Roldisleben_1_1962.xlsx</t>
  </si>
  <si>
    <t>P:\I2535F001_KI-Explore\Bohrprotokolle_Schichtenverzeichnisse\Schleusingen_4_1964</t>
  </si>
  <si>
    <t>630604_Kb_Schleusingen_4_1964_01.LAS</t>
  </si>
  <si>
    <t>630604_Kb_Schleusingen_4_1964_02.LAS</t>
  </si>
  <si>
    <t>Schleusingen4.sdg</t>
  </si>
  <si>
    <t>Schleusingen_4_1964.xlsx</t>
  </si>
  <si>
    <t>P:\I2535F001_KI-Explore\Bohrprotokolle_Schichtenverzeichnisse\Schlotheim_2_1984</t>
  </si>
  <si>
    <t>Schlotheim2.sdg</t>
  </si>
  <si>
    <t>Schlotheim_2_1984.xlsx</t>
  </si>
  <si>
    <t>Schlothheim_2_1984_SVZ.pdf</t>
  </si>
  <si>
    <t>P:\I2535F001_KI-Explore\Bohrprotokolle_Schichtenverzeichnisse\Schlotheim_2_1984\659396_Kal_Schlotheim_2_1984</t>
  </si>
  <si>
    <t>659396_Kal Schlotheim2_1984_REPORT_KORR.docx</t>
  </si>
  <si>
    <t>659396_Kal_Schlotheim 2_1984_Composite_KORR.las</t>
  </si>
  <si>
    <t>659396_Kal_Schlotheim_2_1984_Edit_KORR_1-1000.tif</t>
  </si>
  <si>
    <t>P:\I2535F001_KI-Explore\Bohrprotokolle_Schichtenverzeichnisse\Schlotheim_2_1984\659396_Kal_Schlotheim_2_1984\Rohdaten</t>
  </si>
  <si>
    <t>659396_Kal_Schlotheim 2_1984_01.las</t>
  </si>
  <si>
    <t>P:\I2535F001_KI-Explore\Bohrprotokolle_Schichtenverzeichnisse\Schorngraben_2_1963</t>
  </si>
  <si>
    <t>Schorngraben_2_1963_Log.pdf</t>
  </si>
  <si>
    <t>Schorngraben_2_1963_SVZ.pdf</t>
  </si>
  <si>
    <t>P:\I2535F001_KI-Explore\Bohrprotokolle_Schichtenverzeichnisse\Schorngraben_3_1964</t>
  </si>
  <si>
    <t>Schorngraben_3_1964_Log.pdf</t>
  </si>
  <si>
    <t>Schorngraben_3_1964_SVZ.pdf</t>
  </si>
  <si>
    <t>P:\I2535F001_KI-Explore\Bohrprotokolle_Schichtenverzeichnisse\Seebergen_1_1964</t>
  </si>
  <si>
    <t>103759_Kb_Seebergen_1_1964_01.LAS</t>
  </si>
  <si>
    <t>103759_Kb_Seebergen_1_1964_02.LAS</t>
  </si>
  <si>
    <t>103759_Kb_Seebergen_1_1964_03.LAS</t>
  </si>
  <si>
    <t>Seebergen1.sdg</t>
  </si>
  <si>
    <t>Seebergen_1_1964.xlsx</t>
  </si>
  <si>
    <t>P:\I2535F001_KI-Explore\Bohrprotokolle_Schichtenverzeichnisse\Straussfurt_1_1959</t>
  </si>
  <si>
    <t>107597_E_Straussfurt_1_1959_Bohrjournal.pdf</t>
  </si>
  <si>
    <t>107597_E_Straussfurt_1_1959_Geophysik_01.TIF</t>
  </si>
  <si>
    <t>107597_E_Straussfurt_1_1959_Geophysik_02.TIF</t>
  </si>
  <si>
    <t>107597_E_Straussfurt_1_1959_Geophysik_03.TIF</t>
  </si>
  <si>
    <t>107597_E_Straussfurt_1_1959_Geophysik_04.TIF</t>
  </si>
  <si>
    <t>107597_E_Straussfurt_1_1959_Geophysik_05.TIF</t>
  </si>
  <si>
    <t>107597_E_Straussfurt_1_1959_Geophysik_06.TIF</t>
  </si>
  <si>
    <t>107597_E_Straussfurt_1_1959_Geophysik_07.TIF</t>
  </si>
  <si>
    <t>107597_E_Straussfurt_1_1959_Geophysik_08.TIF</t>
  </si>
  <si>
    <t>107597_E_Straussfurt_1_1959_Geophysik_09.TIF</t>
  </si>
  <si>
    <t>107597_E_Straussfurt_1_1959_Geophysik_10.TIF</t>
  </si>
  <si>
    <t>107597_E_Straussfurt_1_1959_Geophysik_11.TIF</t>
  </si>
  <si>
    <t>107597_E_Straussfurt_1_1959_Geophysik_12.TIF</t>
  </si>
  <si>
    <t>107597_E_Straussfurt_1_1959_Geophysik_13.TIF</t>
  </si>
  <si>
    <t>107597_E_Straussfurt_1_1959_Geophysik_14.TIF</t>
  </si>
  <si>
    <t>107597_E_Straussfurt_1_1959_Geophysik_15.TIF</t>
  </si>
  <si>
    <t>107597_E_Straussfurt_1_1959_Geophysik_16.TIF</t>
  </si>
  <si>
    <t>107597_E_Straussfurt_1_1959_Geophysik_17.TIF</t>
  </si>
  <si>
    <t>107597_E_Straussfurt_1_1959_Geophysik_18.TIF</t>
  </si>
  <si>
    <t>107597_E_Straussfurt_1_1959_Geophysik_19.TIF</t>
  </si>
  <si>
    <t>107597_E_Straussfurt_1_1959_Geophysik_20.TIF</t>
  </si>
  <si>
    <t>1962-2893.pdf</t>
  </si>
  <si>
    <t>E_Straussfurt_1_1959_1.pdf</t>
  </si>
  <si>
    <t>E_Straussfurt_1_1959_2.pdf</t>
  </si>
  <si>
    <t>E_Straussfurt_1_1959_3.pdf</t>
  </si>
  <si>
    <t>P:\I2535F001_KI-Explore\Bohrprotokolle_Schichtenverzeichnisse\Straussfurt_3_1964</t>
  </si>
  <si>
    <t>108108_Ug_Straussfurt_S3_1964_Geophysik_01.TIF</t>
  </si>
  <si>
    <t>108108_Ug_Straussfurt_S3_1964_Geophysik_02.TIF</t>
  </si>
  <si>
    <t>108108_Ug_Straussfurt_S3_1964_Geophysik_03.TIF</t>
  </si>
  <si>
    <t>108108_Ug_Straussfurt_S3_1965_Bohrjournal.pdf</t>
  </si>
  <si>
    <t>1964-2056.pdf</t>
  </si>
  <si>
    <t>E_Straussfurt_S3_1964.pdf</t>
  </si>
  <si>
    <t>P:\I2535F001_KI-Explore\Bohrprotokolle_Schichtenverzeichnisse\Straussfurt_5_1965</t>
  </si>
  <si>
    <t>1965-2044-Anlage-1.pdf</t>
  </si>
  <si>
    <t>1965-2044.pdf</t>
  </si>
  <si>
    <t>617676_E_Straussfurt_5_1965_Bohrjournal.pdf</t>
  </si>
  <si>
    <t>617676_E_Straussfurt_5_1965_Geophysik_01.TIF</t>
  </si>
  <si>
    <t>617676_E_Straussfurt_5_1965_Geophysik_02.TIF</t>
  </si>
  <si>
    <t>E_Straussfurt_5_1965.pdf</t>
  </si>
  <si>
    <t>P:\I2535F001_KI-Explore\Bohrprotokolle_Schichtenverzeichnisse\Straussfurt_8_1970</t>
  </si>
  <si>
    <t>108109_E_Straussfurt_8_1970_01.LAS</t>
  </si>
  <si>
    <t>108109_E_Straussfurt_8_1970_02.LAS</t>
  </si>
  <si>
    <t>108109_E_Straussfurt_8_1970_03.LAS</t>
  </si>
  <si>
    <t>108109_E_Straussfurt_8_1970_Bohrjournal.pdf</t>
  </si>
  <si>
    <t>108109_E_Straussfurt_8_1970_Bohrjournal_Anlagen.pdf</t>
  </si>
  <si>
    <t>1970-2762.pdf</t>
  </si>
  <si>
    <t>1970-2762Anlage-1.pdf</t>
  </si>
  <si>
    <t>1970-2762Anlage-2.pdf</t>
  </si>
  <si>
    <t>Straußfurt8.sdg</t>
  </si>
  <si>
    <t>Straußfurt_8_1970.xlsx</t>
  </si>
  <si>
    <t>Straußfurt_8_1970_SVZ.pdf</t>
  </si>
  <si>
    <t>P:\I2535F001_KI-Explore\Bohrprotokolle_Schichtenverzeichnisse\Straussfurt_Roldisleben_Region</t>
  </si>
  <si>
    <t>1968-2035-Anlage-1.pdf</t>
  </si>
  <si>
    <t>1968-2035-Anlage-10.pdf</t>
  </si>
  <si>
    <t>1968-2035-Anlage-11.pdf</t>
  </si>
  <si>
    <t>1968-2035-Anlage-12.pdf</t>
  </si>
  <si>
    <t>1968-2035-Anlage-13.pdf</t>
  </si>
  <si>
    <t>1968-2035-Anlage-14.pdf</t>
  </si>
  <si>
    <t>1968-2035-Anlage-15.pdf</t>
  </si>
  <si>
    <t>1968-2035-Anlage-16.pdf</t>
  </si>
  <si>
    <t>1968-2035-Anlage-17.pdf</t>
  </si>
  <si>
    <t>1968-2035-Anlage-18.pdf</t>
  </si>
  <si>
    <t>1968-2035-Anlage-19.pdf</t>
  </si>
  <si>
    <t>1968-2035-Anlage-2.pdf</t>
  </si>
  <si>
    <t>1968-2035-Anlage-20.pdf</t>
  </si>
  <si>
    <t>1968-2035-Anlage-3.pdf</t>
  </si>
  <si>
    <t>1968-2035-Anlage-4.pdf</t>
  </si>
  <si>
    <t>1968-2035-Anlage-5.pdf</t>
  </si>
  <si>
    <t>1968-2035-Anlage-6.pdf</t>
  </si>
  <si>
    <t>1968-2035-Anlage-7.pdf</t>
  </si>
  <si>
    <t>1968-2035-Anlage-8.pdf</t>
  </si>
  <si>
    <t>1968-2035-Anlage-9.pdf</t>
  </si>
  <si>
    <t>1968-2035.pdf</t>
  </si>
  <si>
    <t>P:\I2535F001_KI-Explore\Bohrprotokolle_Schichtenverzeichnisse\Straussfurt_S4_1965</t>
  </si>
  <si>
    <t>108163_Ug_Straussfurt_S4_1965_Bohrjournal.pdf</t>
  </si>
  <si>
    <t>108163_Ug_Straussfurt_S4_1965_Geophysik_01.pdf</t>
  </si>
  <si>
    <t>108163_Ug_Straussfurt_S4_1965_Geophysik_01.TIF</t>
  </si>
  <si>
    <t>108163_Ug_Straussfurt_S4_1965_Geophysik_02.TIF</t>
  </si>
  <si>
    <t>1965-2045-Anlage-1.pdf</t>
  </si>
  <si>
    <t>1965-2045.pdf</t>
  </si>
  <si>
    <t>P:\I2535F001_KI-Explore\Bohrprotokolle_Schichtenverzeichnisse\Straussfurt_T2_1963</t>
  </si>
  <si>
    <t>108071_E_Straussfurt_T2_1963_Geophysik_01.TIF</t>
  </si>
  <si>
    <t>108071_E_Straussfurt_T2_1963_Geophysik_02.TIF</t>
  </si>
  <si>
    <t>108071_E_Straussfurt_T2_1963_Geophysik_03.TIF</t>
  </si>
  <si>
    <t>108071_E_Straussfurt_T2_1963_Geophysik_04.TIF</t>
  </si>
  <si>
    <t>108071_E_Straussfurt_T2_1963_Geophysik_05.TIF</t>
  </si>
  <si>
    <t>1963-2820.pdf</t>
  </si>
  <si>
    <t>Bohrkerndokumentation.pdf</t>
  </si>
  <si>
    <t>MFCDD03.tmp</t>
  </si>
  <si>
    <t>StraußfurtT2.sdg</t>
  </si>
  <si>
    <t>Straußfurt_T2_1963.xlsx</t>
  </si>
  <si>
    <t>Straußfurt_T2_Petrophysik.pdf</t>
  </si>
  <si>
    <t>P:\I2535F001_KI-Explore\Bohrprotokolle_Schichtenverzeichnisse\Straussfurt_T2_1963\108071_E_Straussfurt_T2_1963</t>
  </si>
  <si>
    <t>P:\I2535F001_KI-Explore\Bohrprotokolle_Schichtenverzeichnisse\Straussfurt_T2_1963\108071_E_Straussfurt_T2_1963\Rohdaten</t>
  </si>
  <si>
    <t>P:\I2535F001_KI-Explore\Bohrprotokolle_Schichtenverzeichnisse\Straussfurt_T2_1963\SB-Anhang</t>
  </si>
  <si>
    <t>495-520.png</t>
  </si>
  <si>
    <t>520-543.png</t>
  </si>
  <si>
    <t>540-564.png</t>
  </si>
  <si>
    <t>565-585.png</t>
  </si>
  <si>
    <t>590-611.png</t>
  </si>
  <si>
    <t>611-636.png</t>
  </si>
  <si>
    <t>635-660.png</t>
  </si>
  <si>
    <t>660-685.png</t>
  </si>
  <si>
    <t>685-710.png</t>
  </si>
  <si>
    <t>P:\I2535F001_KI-Explore\Bohrprotokolle_Schichtenverzeichnisse\Struth_Heimersdorf_1_1962</t>
  </si>
  <si>
    <t>110336_Kb_Struth_Helmershof_1_1962_01.LAS</t>
  </si>
  <si>
    <t>StruthHeimershof1.sdg</t>
  </si>
  <si>
    <t>StruthHeimershof_1_1962.xlsx</t>
  </si>
  <si>
    <t>P:\I2535F001_KI-Explore\Bohrprotokolle_Schichtenverzeichnisse\Tennstedt_1_1969</t>
  </si>
  <si>
    <t>1970-2767-Anlage-1.pdf</t>
  </si>
  <si>
    <t>1970-2767.pdf</t>
  </si>
  <si>
    <t>618331_E_Tennstedt_1_1969_Bohrjournal.pdf</t>
  </si>
  <si>
    <t>E_Tennstedt_1_1969.pdf</t>
  </si>
  <si>
    <t>P:\I2535F001_KI-Explore\Bohrprotokolle_Schichtenverzeichnisse\Tennstedt_1_1969\Well_data</t>
  </si>
  <si>
    <t>618331_E_Tennstedt_1_1969_Geophysik_01.jpg</t>
  </si>
  <si>
    <t>Tnn1_69.xlsx</t>
  </si>
  <si>
    <t>P:\I2535F001_KI-Explore\Bohrprotokolle_Schichtenverzeichnisse\Tennstedt_2_1970</t>
  </si>
  <si>
    <t>1970-2766-Anlage-1.pdf</t>
  </si>
  <si>
    <t>1970-2766.pdf</t>
  </si>
  <si>
    <t>618332_E_Tennstedt_2_1970_Bohrjournal.pdf</t>
  </si>
  <si>
    <t>618332_E_Tennstedt_2_1970_Geophysik_01.jpg</t>
  </si>
  <si>
    <t>618332_E_Tennstedt_2_1970_Geophysik_02.jpg</t>
  </si>
  <si>
    <t>618332_E_Tennstedt_2_1970_Geophysik_03.jpg</t>
  </si>
  <si>
    <t>618332_E_Tennstedt_2_1970_Geophysik_04.jpg</t>
  </si>
  <si>
    <t>618332_E_Tennstedt_2_1970_Geophysik_05.jpg</t>
  </si>
  <si>
    <t>618332_E_Tennstedt_2_1970_Geophysik_06.jpg</t>
  </si>
  <si>
    <t>618332_E_Tennstedt_2_1970_Geophysik_07.jpg</t>
  </si>
  <si>
    <t>E_Tennstedt_2_1970.pdf</t>
  </si>
  <si>
    <t>P:\I2535F001_KI-Explore\Bohrprotokolle_Schichtenverzeichnisse\Themar_1_1963\Well_data</t>
  </si>
  <si>
    <t>Themar_1_1963.txt</t>
  </si>
  <si>
    <t>Themar_1_1963.xlsx</t>
  </si>
  <si>
    <t>Tma_1_63.pdf</t>
  </si>
  <si>
    <t>~$Themar_1_1963.xlsx</t>
  </si>
  <si>
    <t>P:\I2535F001_KI-Explore\Bohrprotokolle_Schichtenverzeichnisse\Themar_1_1963\Well_documentation</t>
  </si>
  <si>
    <t>Themar_1_1963.pdf</t>
  </si>
  <si>
    <t>Themar_1_1963.sdg</t>
  </si>
  <si>
    <t>P:\I2535F001_KI-Explore\Bohrprotokolle_Schichtenverzeichnisse\Thueringen_Sued_1_1963</t>
  </si>
  <si>
    <t>1963-2039-Anlage-1.pdf</t>
  </si>
  <si>
    <t>1963-2039-Anlage-2.pdf</t>
  </si>
  <si>
    <t>1963-2039-Anlage-3.pdf</t>
  </si>
  <si>
    <t>1963-2039.pdf</t>
  </si>
  <si>
    <t>631630_E_Thueringen_Sued_1_1963_01.LAS</t>
  </si>
  <si>
    <t>631630_E_Thueringen_Sued_1_1963_02.LAS</t>
  </si>
  <si>
    <t>631630_E_Thueringen_Sued_1_1963_03.LAS</t>
  </si>
  <si>
    <t>631630_E_Thueringen_Sued_1_1963_04.LAS</t>
  </si>
  <si>
    <t>631630_E_Thueringen_Sued_1_1963_05.LAS</t>
  </si>
  <si>
    <t>ThüringenSüd1.sdg</t>
  </si>
  <si>
    <t>ThüringenSüd_1_1963.xlsx</t>
  </si>
  <si>
    <t>Thüringen_Süd_1_1963_SVZ.pdf</t>
  </si>
  <si>
    <t>P:\I2535F001_KI-Explore\Bohrprotokolle_Schichtenverzeichnisse\Thüringen_Nord_Region</t>
  </si>
  <si>
    <t>1965-2007-Anlage-1.pdf</t>
  </si>
  <si>
    <t>1965-2007-Anlage-10.pdf</t>
  </si>
  <si>
    <t>1965-2007-Anlage-11.pdf</t>
  </si>
  <si>
    <t>1965-2007-Anlage-12.pdf</t>
  </si>
  <si>
    <t>1965-2007-Anlage-13.pdf</t>
  </si>
  <si>
    <t>1965-2007-Anlage-14.pdf</t>
  </si>
  <si>
    <t>1965-2007-Anlage-15.pdf</t>
  </si>
  <si>
    <t>1965-2007-Anlage-16.pdf</t>
  </si>
  <si>
    <t>1965-2007-Anlage-17.pdf</t>
  </si>
  <si>
    <t>1965-2007-Anlage-18.pdf</t>
  </si>
  <si>
    <t>1965-2007-Anlage-2.pdf</t>
  </si>
  <si>
    <t>1965-2007-Anlage-3.pdf</t>
  </si>
  <si>
    <t>1965-2007-Anlage-4.pdf</t>
  </si>
  <si>
    <t>1965-2007-Anlage-5.pdf</t>
  </si>
  <si>
    <t>1965-2007-Anlage-6.pdf</t>
  </si>
  <si>
    <t>1965-2007-Anlage-7.pdf</t>
  </si>
  <si>
    <t>1965-2007-Anlage-8.pdf</t>
  </si>
  <si>
    <t>1965-2007-Anlage-9.pdf</t>
  </si>
  <si>
    <t>1965-2007.pdf</t>
  </si>
  <si>
    <t>P:\I2535F001_KI-Explore\Bohrprotokolle_Schichtenverzeichnisse\Wattensattel_1_1962</t>
  </si>
  <si>
    <t>1962-2801.pdf</t>
  </si>
  <si>
    <t>P:\I2535F001_KI-Explore\Bohrprotokolle_Schichtenverzeichnisse\Weimar_2_1971</t>
  </si>
  <si>
    <t>622240_E_Weimar_2_1971_01.LAS</t>
  </si>
  <si>
    <t>Weimar2.sdg</t>
  </si>
  <si>
    <t>Weimar_2_1971.xlsx</t>
  </si>
  <si>
    <t>P:\I2535F001_KI-Explore\Bohrprotokolle_Schichtenverzeichnisse\Well_Documentation</t>
  </si>
  <si>
    <t>cored_wells_complete.sdg</t>
  </si>
  <si>
    <t>cored_wells_complete.tsf</t>
  </si>
  <si>
    <t>Cross_Sections.tsf</t>
  </si>
  <si>
    <t>Lithology_Color.sch</t>
  </si>
  <si>
    <t>Logged_wells_complete.tsf</t>
  </si>
  <si>
    <t>RST.png</t>
  </si>
  <si>
    <t>Scheme_Color.sch</t>
  </si>
  <si>
    <t>Scheme_Cross-Section_Sequence_Stratigraphy_2nd_order.sch</t>
  </si>
  <si>
    <t>Scheme_Lithology.sch</t>
  </si>
  <si>
    <t>Scheme_Marker.sch</t>
  </si>
  <si>
    <t>Scheme_Sediment_Structures.sch</t>
  </si>
  <si>
    <t>Scheme_Sequence_Stratigraphy.sch</t>
  </si>
  <si>
    <t>Scheme_Sequence_Stratigraphy_2nd_order.sch</t>
  </si>
  <si>
    <t>Scheme_Sequence_Stratigraphy_3er_order.sch</t>
  </si>
  <si>
    <t>TST.png</t>
  </si>
  <si>
    <t>Vorlage_Probezettel.docx</t>
  </si>
  <si>
    <t>Well_Plots.tsf</t>
  </si>
  <si>
    <t>P:\I2535F001_KI-Explore\Bohrprotokolle_Schichtenverzeichnisse\Wiegleben_3_1963</t>
  </si>
  <si>
    <t>1963-2902.pdf</t>
  </si>
  <si>
    <t>Wiegleben_T3_Log.pdf</t>
  </si>
  <si>
    <t>Wiegleben_T3_Petrophysik.pdf</t>
  </si>
  <si>
    <t>Wiegleben_T3_SVZ.pdf</t>
  </si>
  <si>
    <t>P:\I2535F001_KI-Explore\Bohrprotokolle_Schichtenverzeichnisse\Wiesenthal_2_1963</t>
  </si>
  <si>
    <t>109826_COO_Wiesenthal_2_1963_01.LAS</t>
  </si>
  <si>
    <t>109826_COO_Wiesenthal_2_1963_SV.pdf</t>
  </si>
  <si>
    <t>Wiesenthal2.sdg</t>
  </si>
  <si>
    <t>Wiesenthal_2_1963.xlsx</t>
  </si>
  <si>
    <t>P:\I2535F001_KI-Explore\Bohrprotokolle_Schichtenverzeichnisse\Wipfra_2_1963</t>
  </si>
  <si>
    <t>663263_Kb_Wipfra_2_1963_01.LAS</t>
  </si>
  <si>
    <t>663263_Kb_Wipfra_2_1963_02.LAS</t>
  </si>
  <si>
    <t>663263_Kb_Wipfra_2_1963_03.LAS</t>
  </si>
  <si>
    <t>663263_Kb_Wipfra_2_1963_04.LAS</t>
  </si>
  <si>
    <t>Wipfra2.sdg</t>
  </si>
  <si>
    <t>Wipfra_2_1963.xlsx</t>
  </si>
  <si>
    <t>P:\I2535F001_KI-Explore\Bohrprotokolle_Schichtenverzeichnisse\Zeitz_5_1965</t>
  </si>
  <si>
    <t>1966-3096-Anlage-1.pdf</t>
  </si>
  <si>
    <t>1966-3096.pdf</t>
  </si>
  <si>
    <t>P:\I2535F001_KI-Explore\Bohrprotokolle_Schichtenverzeichnisse\Zella_Mehlis_1_1964</t>
  </si>
  <si>
    <t>629190_Kb_Zella_Mehlis_1_1964_01.LAS</t>
  </si>
  <si>
    <t>629190_Kb_Zella_Mehlis_1_1964_02.LAS</t>
  </si>
  <si>
    <t>ZellaMehlis1.sdg</t>
  </si>
  <si>
    <t>ZellaMehlis_1_1964.xlsx</t>
  </si>
  <si>
    <t>P:\I2535F001_KI-Explore\Bohrprotokolle_Schichtenverzeichnisse\Ziegenrueck_1_1964</t>
  </si>
  <si>
    <t>650069_Kb_Ziegenrueck_1_1964_01.LAS</t>
  </si>
  <si>
    <t>650069_Kb_Ziegenrueck_1_1964_02.LAS</t>
  </si>
  <si>
    <t>Ziegenrück1.sdg</t>
  </si>
  <si>
    <t>Ziegenrück_1_1964.xlsx</t>
  </si>
  <si>
    <t>P:\I2535F001_KI-Explore\Bohrprotokolle_Schichtenverzeichnisse\Zoppoten_3_1964</t>
  </si>
  <si>
    <t>635315_Kb_Zoppoten_3_1964_01.LAS</t>
  </si>
  <si>
    <t>Zoppoten3.sdg</t>
  </si>
  <si>
    <t>Zoppoten_3_1964.xlsx</t>
  </si>
  <si>
    <t>Dateityp</t>
  </si>
  <si>
    <t>Kategorie</t>
  </si>
  <si>
    <t>ID</t>
  </si>
  <si>
    <t>Bohrungen</t>
  </si>
  <si>
    <t>Allmenhausen_10_1960</t>
  </si>
  <si>
    <t>Allmenhausen_11_1960</t>
  </si>
  <si>
    <t>Allmenhausen_2_1959</t>
  </si>
  <si>
    <t>Allmenhausen_32_1968</t>
  </si>
  <si>
    <t>Allmenhausen_33_1968</t>
  </si>
  <si>
    <t>Allmenhausen_34_1969</t>
  </si>
  <si>
    <t>Allmenhausen_35_1969</t>
  </si>
  <si>
    <t>Allmenhausen_4_1959</t>
  </si>
  <si>
    <t>Allmenhausen_5_1962</t>
  </si>
  <si>
    <t>Allmenhausen_6_1960</t>
  </si>
  <si>
    <t>Allmenhausen_8_1960</t>
  </si>
  <si>
    <t>Altengottern_102E_1958</t>
  </si>
  <si>
    <t>Altengottern_1_1958</t>
  </si>
  <si>
    <t>Altengottern_2_1965</t>
  </si>
  <si>
    <t>Altengottern_3_1987</t>
  </si>
  <si>
    <t>Apolda_1_1965</t>
  </si>
  <si>
    <t>Auma_1_1961</t>
  </si>
  <si>
    <t>Bad_Colberg_1_1974</t>
  </si>
  <si>
    <t>Behringen_10_1964</t>
  </si>
  <si>
    <t>Behringen_11_1964</t>
  </si>
  <si>
    <t>Behringen_12_1964</t>
  </si>
  <si>
    <t>Behringen_13_1964</t>
  </si>
  <si>
    <t>Behringen_1_1962</t>
  </si>
  <si>
    <t>Behringen_2_1963</t>
  </si>
  <si>
    <t>Behringen_3_1963</t>
  </si>
  <si>
    <t>Behringen_4_1963</t>
  </si>
  <si>
    <t>Behringen_5_1963</t>
  </si>
  <si>
    <t>Behringen_8_1963</t>
  </si>
  <si>
    <t>Behringen_9_1964</t>
  </si>
  <si>
    <t>Berka_1_1939</t>
  </si>
  <si>
    <t>Berka_3_1962</t>
  </si>
  <si>
    <t>Beulwitz_12_1962</t>
  </si>
  <si>
    <t>Birkenhügel_1A_1987</t>
  </si>
  <si>
    <t>Buttelstedt_1_1963</t>
  </si>
  <si>
    <t>Buttelstedt_2_1963</t>
  </si>
  <si>
    <t>Buttelstedt_3_1974</t>
  </si>
  <si>
    <t>Buttstädt_2_1964</t>
  </si>
  <si>
    <t>Buttstädt_3_1973</t>
  </si>
  <si>
    <t>Buttstädt_4_1973</t>
  </si>
  <si>
    <t>Buttstädt_5_1974</t>
  </si>
  <si>
    <t>Buttstädt_6_1974</t>
  </si>
  <si>
    <t>Buttstädt_7_1974</t>
  </si>
  <si>
    <t>Creuzburg_1_1966</t>
  </si>
  <si>
    <t>Creuzburg_2_1967</t>
  </si>
  <si>
    <t>Deicheroda_1_1963</t>
  </si>
  <si>
    <t>Doehlau_1_1963</t>
  </si>
  <si>
    <t>Doehlau_2_1964</t>
  </si>
  <si>
    <t>Dreisbach_1_1963</t>
  </si>
  <si>
    <t>Elende_12_1977</t>
  </si>
  <si>
    <t>Erfurt_1_2013</t>
  </si>
  <si>
    <t>Ettersberg_4_1962</t>
  </si>
  <si>
    <t>Ettersberg_5_1962</t>
  </si>
  <si>
    <t>Ettersberg_6_1962</t>
  </si>
  <si>
    <t>Ettersberg_7_1963</t>
  </si>
  <si>
    <t>Frauenpriebnitz_1_1966</t>
  </si>
  <si>
    <t>Gotha_1_1963</t>
  </si>
  <si>
    <t>Gotha_2_1963</t>
  </si>
  <si>
    <t>Griefstedt_Region</t>
  </si>
  <si>
    <t>Grossbrembach_1_1973</t>
  </si>
  <si>
    <t>Großbrembach_3_1973</t>
  </si>
  <si>
    <t>Gumperda_1_1963</t>
  </si>
  <si>
    <t>Günthersleben_1_1964</t>
  </si>
  <si>
    <t>Hachelbich_1_1959</t>
  </si>
  <si>
    <t>Hachelbich_3_1989</t>
  </si>
  <si>
    <t>Hainich_Eigenrieden_1_1961</t>
  </si>
  <si>
    <t>Hainich_Eigenrieden_2_1961</t>
  </si>
  <si>
    <t>Hainich_Eigenrieden_3_1962</t>
  </si>
  <si>
    <t>Hainich_Eigenrieden_4_1962</t>
  </si>
  <si>
    <t>Hainich_Hallungen_1_1962</t>
  </si>
  <si>
    <t>Hainich_Region</t>
  </si>
  <si>
    <t>Hainleite_1_1963</t>
  </si>
  <si>
    <t>Haussömmern_1_1970</t>
  </si>
  <si>
    <t>Hohenwart_3_1967</t>
  </si>
  <si>
    <t>Holzsußra_2_1970</t>
  </si>
  <si>
    <t>Holzthaleben_2_1969</t>
  </si>
  <si>
    <t>Holzthaleben_3_1970</t>
  </si>
  <si>
    <t>Holzthaleben_4_1970</t>
  </si>
  <si>
    <t>Holzthaleben_5_1971</t>
  </si>
  <si>
    <t>Ilfeld_1_1991</t>
  </si>
  <si>
    <t>Jena_Z_103_1963</t>
  </si>
  <si>
    <t>Jena_Z_104_1962</t>
  </si>
  <si>
    <t>K-UTEC_neu</t>
  </si>
  <si>
    <t>Kalbsrieth_5_1986</t>
  </si>
  <si>
    <t>Keula_2_1961</t>
  </si>
  <si>
    <t>Keula_3_1962</t>
  </si>
  <si>
    <t>Keula_4_1961</t>
  </si>
  <si>
    <t>Kirchheilingen_10_1960</t>
  </si>
  <si>
    <t>Kirchheilingen_14_1960</t>
  </si>
  <si>
    <t>Kirchheilingen_15_1960</t>
  </si>
  <si>
    <t>Kirchheilingen_20_1960</t>
  </si>
  <si>
    <t>Kirchheilingen_21_1960</t>
  </si>
  <si>
    <t>Kirchheilingen_23_1960</t>
  </si>
  <si>
    <t>Kirchheilingen_2_1960</t>
  </si>
  <si>
    <t>Kirchheilingen_35_1961</t>
  </si>
  <si>
    <t>Kirchheilingen_36_1961</t>
  </si>
  <si>
    <t>Kirchheilingen_4_1959</t>
  </si>
  <si>
    <t>Kirchheilingen_5_1960</t>
  </si>
  <si>
    <t>Kirchheilingen_60_1968</t>
  </si>
  <si>
    <t>Kirchheilingen_61_1968</t>
  </si>
  <si>
    <t>Kirchheilingen_63_1968</t>
  </si>
  <si>
    <t>Kirchheilingen_71_1968</t>
  </si>
  <si>
    <t>Kirchheilingen_72_1968</t>
  </si>
  <si>
    <t>Kirchheilingen_73_1968</t>
  </si>
  <si>
    <t>Kirchheilingen_74_1968</t>
  </si>
  <si>
    <t>Kirchheilingen_79_1968</t>
  </si>
  <si>
    <t>Kirchheilingen_80_1968</t>
  </si>
  <si>
    <t>Kirchheilingen_81_1969</t>
  </si>
  <si>
    <t>Kirchheilingen_83_1969</t>
  </si>
  <si>
    <t>Kirchheilingen_84_1969</t>
  </si>
  <si>
    <t>Krahnberg_14_1965</t>
  </si>
  <si>
    <t>Krahnberg_18_1965</t>
  </si>
  <si>
    <t>Krahnberg_1_1963</t>
  </si>
  <si>
    <t>Krahnberg_2_1963</t>
  </si>
  <si>
    <t>Kuellstedt_2_1966</t>
  </si>
  <si>
    <t>Küllstedt_Region</t>
  </si>
  <si>
    <t>Langensalza_109_1959</t>
  </si>
  <si>
    <t>Langensalza_110_1961</t>
  </si>
  <si>
    <t>Langensalza_112_1961</t>
  </si>
  <si>
    <t>Langensalza_114_1965</t>
  </si>
  <si>
    <t>Langensalza_14_1961</t>
  </si>
  <si>
    <t>Langensalza_18_1958</t>
  </si>
  <si>
    <t>Langensalza_35_1970</t>
  </si>
  <si>
    <t>Langensalza_36_1970</t>
  </si>
  <si>
    <t>Lenders_1_1964</t>
  </si>
  <si>
    <t>Mariengart_3_1961</t>
  </si>
  <si>
    <t>Markvippach_2_1973</t>
  </si>
  <si>
    <t>Martinroda_1_1988</t>
  </si>
  <si>
    <t>Mechterstädt_1_1962</t>
  </si>
  <si>
    <t>Mechterstädt_2_1963</t>
  </si>
  <si>
    <t>Mechterstädt_4_1963</t>
  </si>
  <si>
    <t>Mechterstädt_5_1963</t>
  </si>
  <si>
    <t>Mehrstedt_5_1970</t>
  </si>
  <si>
    <t>Mehrstedt_6_1971</t>
  </si>
  <si>
    <t>Metzels_1_1964</t>
  </si>
  <si>
    <t>Neudietendorf_1_1962</t>
  </si>
  <si>
    <t>Neudietendorf_3_1962</t>
  </si>
  <si>
    <t>Neudietendorf_4_1962</t>
  </si>
  <si>
    <t>Neudietendorf_5_1963</t>
  </si>
  <si>
    <t>Neumark_1_1974</t>
  </si>
  <si>
    <t>Neumark_2_1974</t>
  </si>
  <si>
    <t>Nohra_11_1978</t>
  </si>
  <si>
    <t>Nohra_15_1978</t>
  </si>
  <si>
    <t>Nohra_16_1978</t>
  </si>
  <si>
    <t>Nohra_Elende_Region</t>
  </si>
  <si>
    <t>Oberhof_1_1962</t>
  </si>
  <si>
    <t>Obermehler_Saalfeld_Urbach_Region</t>
  </si>
  <si>
    <t>Oechsen_3_1962</t>
  </si>
  <si>
    <t>Ohmgebirge_1_1961</t>
  </si>
  <si>
    <t>Ponitz_1_1960</t>
  </si>
  <si>
    <t>Ramsla_3_1973</t>
  </si>
  <si>
    <t>Ramsla_4_1974</t>
  </si>
  <si>
    <t>Rentwertshausen_1_1965</t>
  </si>
  <si>
    <t>Roldisleben_1_1962</t>
  </si>
  <si>
    <t>Schleusingen_4_1964</t>
  </si>
  <si>
    <t>Schlotheim_2_1984</t>
  </si>
  <si>
    <t>Schorngraben_2_1963</t>
  </si>
  <si>
    <t>Schorngraben_3_1964</t>
  </si>
  <si>
    <t>Seebergen_1_1964</t>
  </si>
  <si>
    <t>Straussfurt_1_1959</t>
  </si>
  <si>
    <t>Straussfurt_3_1964</t>
  </si>
  <si>
    <t>Straussfurt_5_1965</t>
  </si>
  <si>
    <t>Straussfurt_8_1970</t>
  </si>
  <si>
    <t>Straussfurt_Roldisleben_Region</t>
  </si>
  <si>
    <t>Straussfurt_S4_1965</t>
  </si>
  <si>
    <t>Straussfurt_T2_1963</t>
  </si>
  <si>
    <t>Struth_Heimersdorf_1_1962</t>
  </si>
  <si>
    <t>Tennstedt_1_1969</t>
  </si>
  <si>
    <t>Tennstedt_2_1970</t>
  </si>
  <si>
    <t>Thueringen_Sued_1_1963</t>
  </si>
  <si>
    <t>Thüringen_Nord_Region</t>
  </si>
  <si>
    <t>Wattensattel_1_1962</t>
  </si>
  <si>
    <t>Weimar_2_1971</t>
  </si>
  <si>
    <t>Well_Documentation</t>
  </si>
  <si>
    <t>Wiegleben_3_1963</t>
  </si>
  <si>
    <t>Wiesenthal_2_1963</t>
  </si>
  <si>
    <t>Wipfra_2_1963</t>
  </si>
  <si>
    <t>Zeitz_5_1965</t>
  </si>
  <si>
    <t>Zella_Mehlis_1_1964</t>
  </si>
  <si>
    <t>Ziegenrueck_1_1964</t>
  </si>
  <si>
    <t>Zoppoten_3_1964</t>
  </si>
  <si>
    <t>Ballstedt_1_1963</t>
  </si>
  <si>
    <t>Birkenfelde_1_1961</t>
  </si>
  <si>
    <t>FahnerHöhe_13_1963</t>
  </si>
  <si>
    <t>Themar_1_1963</t>
  </si>
  <si>
    <t>pdf</t>
  </si>
  <si>
    <t>tif</t>
  </si>
  <si>
    <t>sdg</t>
  </si>
  <si>
    <t>xlsx</t>
  </si>
  <si>
    <t>docx</t>
  </si>
  <si>
    <t>las</t>
  </si>
  <si>
    <t>db</t>
  </si>
  <si>
    <t>rhistory</t>
  </si>
  <si>
    <t>mdb</t>
  </si>
  <si>
    <t>xml</t>
  </si>
  <si>
    <t>jpg</t>
  </si>
  <si>
    <t>png</t>
  </si>
  <si>
    <t>xls</t>
  </si>
  <si>
    <t>txt</t>
  </si>
  <si>
    <t>ZIP oder R</t>
  </si>
  <si>
    <t>tsf</t>
  </si>
  <si>
    <t>sch</t>
  </si>
  <si>
    <t>Bohrung</t>
  </si>
  <si>
    <t>Rockensussra_2_1983</t>
  </si>
  <si>
    <t>Allmenhausen_05_1962</t>
  </si>
  <si>
    <t>Rockensussra_4_1969</t>
  </si>
  <si>
    <t>Rockensussra_5_1969</t>
  </si>
  <si>
    <t>Rockensussra_6_1969</t>
  </si>
  <si>
    <t>Rockensussra_8_1970</t>
  </si>
  <si>
    <t>11000000000000000</t>
  </si>
  <si>
    <t>10000000000000000</t>
  </si>
  <si>
    <t>11111110000000000</t>
  </si>
  <si>
    <t>10110101000000000</t>
  </si>
  <si>
    <t>00110100000000000</t>
  </si>
  <si>
    <t>10110100110000000</t>
  </si>
  <si>
    <t>10110100000000000</t>
  </si>
  <si>
    <t>10110000001100000</t>
  </si>
  <si>
    <t>10110100000000100</t>
  </si>
  <si>
    <t>10110100001010100</t>
  </si>
  <si>
    <t>01000000000000000</t>
  </si>
  <si>
    <t>10110000000000000</t>
  </si>
  <si>
    <t>10000000001000000</t>
  </si>
  <si>
    <t>11111100000000000</t>
  </si>
  <si>
    <t>11000000001000000</t>
  </si>
  <si>
    <t>10111000001011100</t>
  </si>
  <si>
    <t>00010000000000000</t>
  </si>
  <si>
    <t>01111110000000000</t>
  </si>
  <si>
    <t>10010000000000000</t>
  </si>
  <si>
    <t>10110101010101100</t>
  </si>
  <si>
    <t>11111100000100100</t>
  </si>
  <si>
    <t>10010000001000000</t>
  </si>
  <si>
    <t>10110101001001100</t>
  </si>
  <si>
    <t>pdf/ tif</t>
  </si>
  <si>
    <t>pdf/ tif/ sdg/ xlsx/ docx/ las/ db</t>
  </si>
  <si>
    <t>pdf/ sdg/ xlsx/ las/ rhistory</t>
  </si>
  <si>
    <t>sdg/ xlsx/ las</t>
  </si>
  <si>
    <t>pdf/ sdg/ xlsx/ las/ mdb/ xml</t>
  </si>
  <si>
    <t>pdf/ sdg/ xlsx/ las</t>
  </si>
  <si>
    <t>pdf/ sdg/ xlsx/ jpg/ png</t>
  </si>
  <si>
    <t>pdf/ sdg/ xlsx/ las/ ZIP oder R</t>
  </si>
  <si>
    <t>pdf/ sdg/ xlsx/ las/ jpg/ xls/ ZIP oder R</t>
  </si>
  <si>
    <t>pdf/ sdg/ xlsx</t>
  </si>
  <si>
    <t>pdf/ jpg</t>
  </si>
  <si>
    <t>pdf/ tif/ sdg/ xlsx/ docx/ las</t>
  </si>
  <si>
    <t>pdf/ tif/ jpg</t>
  </si>
  <si>
    <t>pdf/ sdg/ xlsx/ docx/ jpg/ xls/ txt/ ZIP oder R</t>
  </si>
  <si>
    <t>tif/ sdg/ xlsx/ docx/ las/ db</t>
  </si>
  <si>
    <t>pdf/ xlsx</t>
  </si>
  <si>
    <t>pdf/ sdg/ xlsx/ las/ rhistory/ xml/ png/ txt/ ZIP oder R</t>
  </si>
  <si>
    <t>pdf/ tif/ sdg/ xlsx/ docx/ las/ png/ Zip oder R</t>
  </si>
  <si>
    <t>pdf/ xlsx/ jpg</t>
  </si>
  <si>
    <t>pdf/ sdg/ xlsx/ las/ rhistory/ jpg/ txt/ ZIP oder R</t>
  </si>
  <si>
    <t>Code</t>
  </si>
  <si>
    <t>Kategorie_ID</t>
  </si>
  <si>
    <t>E_EPSG31468</t>
  </si>
  <si>
    <t>N_EPSG31468</t>
  </si>
  <si>
    <t>Teufe mrs smV1 von</t>
  </si>
  <si>
    <t>Teufe mrs smV1 bis</t>
  </si>
  <si>
    <t>Teufe mfs V1 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</si>
</sst>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" fontId="0" fillId="0" borderId="0" xfId="0" applyNumberFormat="1"/>
    <xf numFmtId="2" fontId="2" fillId="0" borderId="0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4" fillId="0" borderId="0" xfId="0" applyFont="1" applyFill="1"/>
    <xf numFmtId="0" fontId="5" fillId="0" borderId="0" xfId="0" applyFont="1" applyFill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D2441"/>
  <sheetViews>
    <sheetView topLeftCell="B7" workbookViewId="0">
      <selection activeCell="D17" sqref="D17"/>
    </sheetView>
  </sheetViews>
  <sheetFormatPr baseColWidth="10" defaultRowHeight="15" x14ac:dyDescent="0.25"/>
  <cols>
    <col min="1" max="1" width="167" bestFit="1" customWidth="1"/>
    <col min="2" max="2" width="57.140625" customWidth="1"/>
    <col min="3" max="3" width="79.5703125" bestFit="1" customWidth="1"/>
  </cols>
  <sheetData>
    <row r="1" spans="1:4" x14ac:dyDescent="0.25">
      <c r="A1" s="1" t="s">
        <v>0</v>
      </c>
      <c r="B1" s="1" t="s">
        <v>2290</v>
      </c>
      <c r="C1" s="1" t="s">
        <v>1</v>
      </c>
      <c r="D1" t="s">
        <v>2085</v>
      </c>
    </row>
    <row r="2" spans="1:4" x14ac:dyDescent="0.25">
      <c r="A2" t="s">
        <v>2</v>
      </c>
      <c r="B2" t="s">
        <v>2089</v>
      </c>
      <c r="C2" t="s">
        <v>3</v>
      </c>
      <c r="D2" t="str">
        <f>IF(ISNUMBER(SEARCH(".pdf",C2)),"pdf",IF(ISNUMBER(SEARCH(".tif",C2)),"tif",IF(ISNUMBER(SEARCH(".las",C2)),"las",IF(ISNUMBER(SEARCH(".sdg",C2)),"sdg",IF(ISNUMBER(SEARCH(".xlsx",C2)),"xlsx",IF(ISNUMBER(SEARCH(".docx",C2)),"docx",IF(ISNUMBER(SEARCH(".rhistory",C2)),"rhistory",IF(ISNUMBER(SEARCH(".db",C2)),"db",IF(ISNUMBER(SEARCH(".jpg",C2)),"jpg",IF(ISNUMBER(SEARCH(".png",C2)),"png",IF(ISNUMBER(SEARCH(".mdb",C2)),"mdb",IF(ISNUMBER(SEARCH(".xml",C2)),"xml",IF(ISNUMBER(SEARCH(".xls",C2)),"xls",IF(ISNUMBER(SEARCH(".txt",C2)),"txt",IF(ISNUMBER(SEARCH(".tsf",C2)),"tsf",IF(ISNUMBER(SEARCH(".sch",C2)),"sch","ZIP oder R"))))))))))))))))</f>
        <v>pdf</v>
      </c>
    </row>
    <row r="3" spans="1:4" x14ac:dyDescent="0.25">
      <c r="A3" t="s">
        <v>2</v>
      </c>
      <c r="B3" t="s">
        <v>2089</v>
      </c>
      <c r="C3" t="s">
        <v>4</v>
      </c>
      <c r="D3" t="str">
        <f t="shared" ref="D3:D66" si="0">IF(ISNUMBER(SEARCH(".pdf",C3)),"pdf",IF(ISNUMBER(SEARCH(".tif",C3)),"tif",IF(ISNUMBER(SEARCH(".las",C3)),"las",IF(ISNUMBER(SEARCH(".sdg",C3)),"sdg",IF(ISNUMBER(SEARCH(".xlsx",C3)),"xlsx",IF(ISNUMBER(SEARCH(".docx",C3)),"docx",IF(ISNUMBER(SEARCH(".rhistory",C3)),"rhistory",IF(ISNUMBER(SEARCH(".db",C3)),"db",IF(ISNUMBER(SEARCH(".jpg",C3)),"jpg",IF(ISNUMBER(SEARCH(".png",C3)),"png",IF(ISNUMBER(SEARCH(".mdb",C3)),"mdb",IF(ISNUMBER(SEARCH(".xml",C3)),"xml",IF(ISNUMBER(SEARCH(".xls",C3)),"xls",IF(ISNUMBER(SEARCH(".txt",C3)),"txt",IF(ISNUMBER(SEARCH(".tsf",C3)),"tsf",IF(ISNUMBER(SEARCH(".sch",C3)),"sch","ZIP oder R"))))))))))))))))</f>
        <v>pdf</v>
      </c>
    </row>
    <row r="4" spans="1:4" x14ac:dyDescent="0.25">
      <c r="A4" t="s">
        <v>2</v>
      </c>
      <c r="B4" t="s">
        <v>2089</v>
      </c>
      <c r="C4" t="s">
        <v>5</v>
      </c>
      <c r="D4" t="str">
        <f t="shared" si="0"/>
        <v>tif</v>
      </c>
    </row>
    <row r="5" spans="1:4" x14ac:dyDescent="0.25">
      <c r="A5" t="s">
        <v>2</v>
      </c>
      <c r="B5" t="s">
        <v>2089</v>
      </c>
      <c r="C5" t="s">
        <v>6</v>
      </c>
      <c r="D5" t="str">
        <f t="shared" si="0"/>
        <v>tif</v>
      </c>
    </row>
    <row r="6" spans="1:4" x14ac:dyDescent="0.25">
      <c r="A6" t="s">
        <v>2</v>
      </c>
      <c r="B6" t="s">
        <v>2089</v>
      </c>
      <c r="C6" t="s">
        <v>7</v>
      </c>
      <c r="D6" t="str">
        <f t="shared" si="0"/>
        <v>tif</v>
      </c>
    </row>
    <row r="7" spans="1:4" x14ac:dyDescent="0.25">
      <c r="A7" t="s">
        <v>2</v>
      </c>
      <c r="B7" t="s">
        <v>2089</v>
      </c>
      <c r="C7" t="s">
        <v>8</v>
      </c>
      <c r="D7" t="str">
        <f t="shared" si="0"/>
        <v>tif</v>
      </c>
    </row>
    <row r="8" spans="1:4" x14ac:dyDescent="0.25">
      <c r="A8" t="s">
        <v>9</v>
      </c>
      <c r="B8" t="s">
        <v>2090</v>
      </c>
      <c r="C8" t="s">
        <v>10</v>
      </c>
      <c r="D8" t="str">
        <f t="shared" si="0"/>
        <v>pdf</v>
      </c>
    </row>
    <row r="9" spans="1:4" x14ac:dyDescent="0.25">
      <c r="A9" t="s">
        <v>11</v>
      </c>
      <c r="B9" t="s">
        <v>2091</v>
      </c>
      <c r="C9" t="s">
        <v>12</v>
      </c>
      <c r="D9" t="str">
        <f t="shared" si="0"/>
        <v>pdf</v>
      </c>
    </row>
    <row r="10" spans="1:4" x14ac:dyDescent="0.25">
      <c r="A10" t="s">
        <v>13</v>
      </c>
      <c r="B10" t="s">
        <v>2092</v>
      </c>
      <c r="C10" t="s">
        <v>14</v>
      </c>
      <c r="D10" t="str">
        <f t="shared" si="0"/>
        <v>pdf</v>
      </c>
    </row>
    <row r="11" spans="1:4" x14ac:dyDescent="0.25">
      <c r="A11" t="s">
        <v>13</v>
      </c>
      <c r="B11" t="s">
        <v>2092</v>
      </c>
      <c r="C11" t="s">
        <v>15</v>
      </c>
      <c r="D11" t="str">
        <f t="shared" si="0"/>
        <v>pdf</v>
      </c>
    </row>
    <row r="12" spans="1:4" x14ac:dyDescent="0.25">
      <c r="A12" t="s">
        <v>16</v>
      </c>
      <c r="B12" t="s">
        <v>2093</v>
      </c>
      <c r="C12" t="s">
        <v>17</v>
      </c>
      <c r="D12" t="str">
        <f t="shared" si="0"/>
        <v>pdf</v>
      </c>
    </row>
    <row r="13" spans="1:4" x14ac:dyDescent="0.25">
      <c r="A13" t="s">
        <v>16</v>
      </c>
      <c r="B13" t="s">
        <v>2093</v>
      </c>
      <c r="C13" t="s">
        <v>18</v>
      </c>
      <c r="D13" t="str">
        <f t="shared" si="0"/>
        <v>pdf</v>
      </c>
    </row>
    <row r="14" spans="1:4" x14ac:dyDescent="0.25">
      <c r="A14" t="s">
        <v>16</v>
      </c>
      <c r="B14" t="s">
        <v>2093</v>
      </c>
      <c r="C14" t="s">
        <v>19</v>
      </c>
      <c r="D14" t="str">
        <f t="shared" si="0"/>
        <v>pdf</v>
      </c>
    </row>
    <row r="15" spans="1:4" x14ac:dyDescent="0.25">
      <c r="A15" t="s">
        <v>20</v>
      </c>
      <c r="B15" t="s">
        <v>2094</v>
      </c>
      <c r="C15" t="s">
        <v>21</v>
      </c>
      <c r="D15" t="str">
        <f t="shared" si="0"/>
        <v>pdf</v>
      </c>
    </row>
    <row r="16" spans="1:4" x14ac:dyDescent="0.25">
      <c r="A16" t="s">
        <v>20</v>
      </c>
      <c r="B16" t="s">
        <v>2094</v>
      </c>
      <c r="C16" t="s">
        <v>22</v>
      </c>
      <c r="D16" t="str">
        <f t="shared" si="0"/>
        <v>pdf</v>
      </c>
    </row>
    <row r="17" spans="1:4" x14ac:dyDescent="0.25">
      <c r="A17" t="s">
        <v>20</v>
      </c>
      <c r="B17" t="s">
        <v>2094</v>
      </c>
      <c r="C17" t="s">
        <v>23</v>
      </c>
      <c r="D17" t="str">
        <f t="shared" si="0"/>
        <v>pdf</v>
      </c>
    </row>
    <row r="18" spans="1:4" x14ac:dyDescent="0.25">
      <c r="A18" t="s">
        <v>24</v>
      </c>
      <c r="B18" t="s">
        <v>2095</v>
      </c>
      <c r="C18" t="s">
        <v>25</v>
      </c>
      <c r="D18" t="str">
        <f t="shared" si="0"/>
        <v>sdg</v>
      </c>
    </row>
    <row r="19" spans="1:4" x14ac:dyDescent="0.25">
      <c r="A19" t="s">
        <v>24</v>
      </c>
      <c r="B19" t="s">
        <v>2095</v>
      </c>
      <c r="C19" t="s">
        <v>26</v>
      </c>
      <c r="D19" t="str">
        <f t="shared" si="0"/>
        <v>xlsx</v>
      </c>
    </row>
    <row r="20" spans="1:4" x14ac:dyDescent="0.25">
      <c r="A20" t="s">
        <v>24</v>
      </c>
      <c r="B20" t="s">
        <v>2095</v>
      </c>
      <c r="C20" t="s">
        <v>27</v>
      </c>
      <c r="D20" t="str">
        <f t="shared" si="0"/>
        <v>pdf</v>
      </c>
    </row>
    <row r="21" spans="1:4" x14ac:dyDescent="0.25">
      <c r="A21" t="s">
        <v>28</v>
      </c>
      <c r="B21" t="s">
        <v>2095</v>
      </c>
      <c r="C21" t="s">
        <v>29</v>
      </c>
      <c r="D21" t="str">
        <f t="shared" si="0"/>
        <v>docx</v>
      </c>
    </row>
    <row r="22" spans="1:4" x14ac:dyDescent="0.25">
      <c r="A22" t="s">
        <v>28</v>
      </c>
      <c r="B22" t="s">
        <v>2095</v>
      </c>
      <c r="C22" t="s">
        <v>30</v>
      </c>
      <c r="D22" t="str">
        <f t="shared" si="0"/>
        <v>las</v>
      </c>
    </row>
    <row r="23" spans="1:4" x14ac:dyDescent="0.25">
      <c r="A23" t="s">
        <v>28</v>
      </c>
      <c r="B23" t="s">
        <v>2095</v>
      </c>
      <c r="C23" t="s">
        <v>31</v>
      </c>
      <c r="D23" t="str">
        <f t="shared" si="0"/>
        <v>tif</v>
      </c>
    </row>
    <row r="24" spans="1:4" x14ac:dyDescent="0.25">
      <c r="A24" t="s">
        <v>28</v>
      </c>
      <c r="B24" t="s">
        <v>2095</v>
      </c>
      <c r="C24" t="s">
        <v>32</v>
      </c>
      <c r="D24" t="str">
        <f t="shared" si="0"/>
        <v>db</v>
      </c>
    </row>
    <row r="25" spans="1:4" x14ac:dyDescent="0.25">
      <c r="A25" t="s">
        <v>33</v>
      </c>
      <c r="B25" t="s">
        <v>2095</v>
      </c>
      <c r="C25" t="s">
        <v>34</v>
      </c>
      <c r="D25" t="str">
        <f t="shared" si="0"/>
        <v>las</v>
      </c>
    </row>
    <row r="26" spans="1:4" x14ac:dyDescent="0.25">
      <c r="A26" t="s">
        <v>35</v>
      </c>
      <c r="B26" t="s">
        <v>2096</v>
      </c>
      <c r="C26" t="s">
        <v>36</v>
      </c>
      <c r="D26" t="str">
        <f t="shared" si="0"/>
        <v>pdf</v>
      </c>
    </row>
    <row r="27" spans="1:4" x14ac:dyDescent="0.25">
      <c r="A27" t="s">
        <v>37</v>
      </c>
      <c r="B27" t="s">
        <v>2097</v>
      </c>
      <c r="C27" t="s">
        <v>38</v>
      </c>
      <c r="D27" t="str">
        <f t="shared" si="0"/>
        <v>rhistory</v>
      </c>
    </row>
    <row r="28" spans="1:4" x14ac:dyDescent="0.25">
      <c r="A28" t="s">
        <v>37</v>
      </c>
      <c r="B28" t="s">
        <v>2097</v>
      </c>
      <c r="C28" t="s">
        <v>39</v>
      </c>
      <c r="D28" t="str">
        <f t="shared" si="0"/>
        <v>pdf</v>
      </c>
    </row>
    <row r="29" spans="1:4" x14ac:dyDescent="0.25">
      <c r="A29" t="s">
        <v>37</v>
      </c>
      <c r="B29" t="s">
        <v>2097</v>
      </c>
      <c r="C29" t="s">
        <v>40</v>
      </c>
      <c r="D29" t="str">
        <f t="shared" si="0"/>
        <v>las</v>
      </c>
    </row>
    <row r="30" spans="1:4" x14ac:dyDescent="0.25">
      <c r="A30" t="s">
        <v>37</v>
      </c>
      <c r="B30" t="s">
        <v>2097</v>
      </c>
      <c r="C30" t="s">
        <v>41</v>
      </c>
      <c r="D30" t="str">
        <f t="shared" si="0"/>
        <v>pdf</v>
      </c>
    </row>
    <row r="31" spans="1:4" x14ac:dyDescent="0.25">
      <c r="A31" t="s">
        <v>37</v>
      </c>
      <c r="B31" t="s">
        <v>2097</v>
      </c>
      <c r="C31" t="s">
        <v>42</v>
      </c>
      <c r="D31" t="str">
        <f t="shared" si="0"/>
        <v>pdf</v>
      </c>
    </row>
    <row r="32" spans="1:4" x14ac:dyDescent="0.25">
      <c r="A32" t="s">
        <v>37</v>
      </c>
      <c r="B32" t="s">
        <v>2097</v>
      </c>
      <c r="C32" t="s">
        <v>43</v>
      </c>
      <c r="D32" t="str">
        <f t="shared" si="0"/>
        <v>pdf</v>
      </c>
    </row>
    <row r="33" spans="1:4" x14ac:dyDescent="0.25">
      <c r="A33" t="s">
        <v>37</v>
      </c>
      <c r="B33" t="s">
        <v>2097</v>
      </c>
      <c r="C33" t="s">
        <v>44</v>
      </c>
      <c r="D33" t="str">
        <f t="shared" si="0"/>
        <v>sdg</v>
      </c>
    </row>
    <row r="34" spans="1:4" x14ac:dyDescent="0.25">
      <c r="A34" t="s">
        <v>37</v>
      </c>
      <c r="B34" t="s">
        <v>2097</v>
      </c>
      <c r="C34" t="s">
        <v>45</v>
      </c>
      <c r="D34" t="str">
        <f t="shared" si="0"/>
        <v>xlsx</v>
      </c>
    </row>
    <row r="35" spans="1:4" x14ac:dyDescent="0.25">
      <c r="A35" t="s">
        <v>46</v>
      </c>
      <c r="B35" t="s">
        <v>2098</v>
      </c>
      <c r="C35" t="s">
        <v>47</v>
      </c>
      <c r="D35" t="str">
        <f t="shared" si="0"/>
        <v>pdf</v>
      </c>
    </row>
    <row r="36" spans="1:4" x14ac:dyDescent="0.25">
      <c r="A36" t="s">
        <v>48</v>
      </c>
      <c r="B36" t="s">
        <v>2099</v>
      </c>
      <c r="C36" t="s">
        <v>49</v>
      </c>
      <c r="D36" t="str">
        <f t="shared" si="0"/>
        <v>pdf</v>
      </c>
    </row>
    <row r="37" spans="1:4" x14ac:dyDescent="0.25">
      <c r="A37" t="s">
        <v>50</v>
      </c>
      <c r="B37" t="s">
        <v>2100</v>
      </c>
      <c r="C37" t="s">
        <v>51</v>
      </c>
      <c r="D37" t="str">
        <f t="shared" si="0"/>
        <v>las</v>
      </c>
    </row>
    <row r="38" spans="1:4" x14ac:dyDescent="0.25">
      <c r="A38" t="s">
        <v>50</v>
      </c>
      <c r="B38" t="s">
        <v>2100</v>
      </c>
      <c r="C38" t="s">
        <v>52</v>
      </c>
      <c r="D38" t="str">
        <f t="shared" si="0"/>
        <v>las</v>
      </c>
    </row>
    <row r="39" spans="1:4" x14ac:dyDescent="0.25">
      <c r="A39" t="s">
        <v>50</v>
      </c>
      <c r="B39" t="s">
        <v>2100</v>
      </c>
      <c r="C39" t="s">
        <v>53</v>
      </c>
      <c r="D39" t="str">
        <f t="shared" si="0"/>
        <v>sdg</v>
      </c>
    </row>
    <row r="40" spans="1:4" x14ac:dyDescent="0.25">
      <c r="A40" t="s">
        <v>50</v>
      </c>
      <c r="B40" t="s">
        <v>2100</v>
      </c>
      <c r="C40" t="s">
        <v>54</v>
      </c>
      <c r="D40" t="str">
        <f t="shared" si="0"/>
        <v>xlsx</v>
      </c>
    </row>
    <row r="41" spans="1:4" x14ac:dyDescent="0.25">
      <c r="A41" t="s">
        <v>55</v>
      </c>
      <c r="B41" t="s">
        <v>2101</v>
      </c>
      <c r="C41" t="s">
        <v>56</v>
      </c>
      <c r="D41" t="str">
        <f t="shared" si="0"/>
        <v>pdf</v>
      </c>
    </row>
    <row r="42" spans="1:4" x14ac:dyDescent="0.25">
      <c r="A42" t="s">
        <v>55</v>
      </c>
      <c r="B42" t="s">
        <v>2101</v>
      </c>
      <c r="C42" t="s">
        <v>57</v>
      </c>
      <c r="D42" t="str">
        <f t="shared" si="0"/>
        <v>pdf</v>
      </c>
    </row>
    <row r="43" spans="1:4" x14ac:dyDescent="0.25">
      <c r="A43" t="s">
        <v>55</v>
      </c>
      <c r="B43" t="s">
        <v>2101</v>
      </c>
      <c r="C43" t="s">
        <v>58</v>
      </c>
      <c r="D43" t="str">
        <f t="shared" si="0"/>
        <v>tif</v>
      </c>
    </row>
    <row r="44" spans="1:4" x14ac:dyDescent="0.25">
      <c r="A44" t="s">
        <v>55</v>
      </c>
      <c r="B44" t="s">
        <v>2101</v>
      </c>
      <c r="C44" t="s">
        <v>59</v>
      </c>
      <c r="D44" t="str">
        <f t="shared" si="0"/>
        <v>tif</v>
      </c>
    </row>
    <row r="45" spans="1:4" x14ac:dyDescent="0.25">
      <c r="A45" t="s">
        <v>55</v>
      </c>
      <c r="B45" t="s">
        <v>2101</v>
      </c>
      <c r="C45" t="s">
        <v>60</v>
      </c>
      <c r="D45" t="str">
        <f t="shared" si="0"/>
        <v>tif</v>
      </c>
    </row>
    <row r="46" spans="1:4" x14ac:dyDescent="0.25">
      <c r="A46" t="s">
        <v>55</v>
      </c>
      <c r="B46" t="s">
        <v>2101</v>
      </c>
      <c r="C46" t="s">
        <v>61</v>
      </c>
      <c r="D46" t="str">
        <f t="shared" si="0"/>
        <v>tif</v>
      </c>
    </row>
    <row r="47" spans="1:4" x14ac:dyDescent="0.25">
      <c r="A47" t="s">
        <v>55</v>
      </c>
      <c r="B47" t="s">
        <v>2101</v>
      </c>
      <c r="C47" t="s">
        <v>62</v>
      </c>
      <c r="D47" t="str">
        <f t="shared" si="0"/>
        <v>tif</v>
      </c>
    </row>
    <row r="48" spans="1:4" x14ac:dyDescent="0.25">
      <c r="A48" t="s">
        <v>55</v>
      </c>
      <c r="B48" t="s">
        <v>2101</v>
      </c>
      <c r="C48" t="s">
        <v>63</v>
      </c>
      <c r="D48" t="str">
        <f t="shared" si="0"/>
        <v>tif</v>
      </c>
    </row>
    <row r="49" spans="1:4" x14ac:dyDescent="0.25">
      <c r="A49" t="s">
        <v>55</v>
      </c>
      <c r="B49" t="s">
        <v>2101</v>
      </c>
      <c r="C49" t="s">
        <v>64</v>
      </c>
      <c r="D49" t="str">
        <f t="shared" si="0"/>
        <v>tif</v>
      </c>
    </row>
    <row r="50" spans="1:4" x14ac:dyDescent="0.25">
      <c r="A50" t="s">
        <v>55</v>
      </c>
      <c r="B50" t="s">
        <v>2101</v>
      </c>
      <c r="C50" t="s">
        <v>65</v>
      </c>
      <c r="D50" t="str">
        <f t="shared" si="0"/>
        <v>pdf</v>
      </c>
    </row>
    <row r="51" spans="1:4" x14ac:dyDescent="0.25">
      <c r="A51" t="s">
        <v>66</v>
      </c>
      <c r="B51" t="s">
        <v>2102</v>
      </c>
      <c r="C51" t="s">
        <v>67</v>
      </c>
      <c r="D51" t="str">
        <f t="shared" si="0"/>
        <v>las</v>
      </c>
    </row>
    <row r="52" spans="1:4" x14ac:dyDescent="0.25">
      <c r="A52" t="s">
        <v>66</v>
      </c>
      <c r="B52" t="s">
        <v>2102</v>
      </c>
      <c r="C52" t="s">
        <v>68</v>
      </c>
      <c r="D52" t="str">
        <f t="shared" si="0"/>
        <v>sdg</v>
      </c>
    </row>
    <row r="53" spans="1:4" x14ac:dyDescent="0.25">
      <c r="A53" t="s">
        <v>66</v>
      </c>
      <c r="B53" t="s">
        <v>2102</v>
      </c>
      <c r="C53" t="s">
        <v>69</v>
      </c>
      <c r="D53" t="str">
        <f t="shared" si="0"/>
        <v>xlsx</v>
      </c>
    </row>
    <row r="54" spans="1:4" x14ac:dyDescent="0.25">
      <c r="A54" t="s">
        <v>70</v>
      </c>
      <c r="B54" t="s">
        <v>2103</v>
      </c>
      <c r="C54" t="s">
        <v>71</v>
      </c>
      <c r="D54" t="str">
        <f t="shared" si="0"/>
        <v>mdb</v>
      </c>
    </row>
    <row r="55" spans="1:4" x14ac:dyDescent="0.25">
      <c r="A55" t="s">
        <v>70</v>
      </c>
      <c r="B55" t="s">
        <v>2103</v>
      </c>
      <c r="C55" t="s">
        <v>72</v>
      </c>
      <c r="D55" t="str">
        <f t="shared" si="0"/>
        <v>xlsx</v>
      </c>
    </row>
    <row r="56" spans="1:4" x14ac:dyDescent="0.25">
      <c r="A56" t="s">
        <v>70</v>
      </c>
      <c r="B56" t="s">
        <v>2103</v>
      </c>
      <c r="C56" t="s">
        <v>73</v>
      </c>
      <c r="D56" t="str">
        <f t="shared" si="0"/>
        <v>xlsx</v>
      </c>
    </row>
    <row r="57" spans="1:4" x14ac:dyDescent="0.25">
      <c r="A57" t="s">
        <v>74</v>
      </c>
      <c r="B57" t="s">
        <v>2103</v>
      </c>
      <c r="C57" t="s">
        <v>75</v>
      </c>
      <c r="D57" t="str">
        <f t="shared" si="0"/>
        <v>pdf</v>
      </c>
    </row>
    <row r="58" spans="1:4" x14ac:dyDescent="0.25">
      <c r="A58" t="s">
        <v>74</v>
      </c>
      <c r="B58" t="s">
        <v>2103</v>
      </c>
      <c r="C58" t="s">
        <v>76</v>
      </c>
      <c r="D58" t="str">
        <f t="shared" si="0"/>
        <v>pdf</v>
      </c>
    </row>
    <row r="59" spans="1:4" x14ac:dyDescent="0.25">
      <c r="A59" t="s">
        <v>74</v>
      </c>
      <c r="B59" t="s">
        <v>2103</v>
      </c>
      <c r="C59" t="s">
        <v>77</v>
      </c>
      <c r="D59" t="str">
        <f t="shared" si="0"/>
        <v>pdf</v>
      </c>
    </row>
    <row r="60" spans="1:4" x14ac:dyDescent="0.25">
      <c r="A60" t="s">
        <v>74</v>
      </c>
      <c r="B60" t="s">
        <v>2103</v>
      </c>
      <c r="C60" t="s">
        <v>78</v>
      </c>
      <c r="D60" t="str">
        <f t="shared" si="0"/>
        <v>pdf</v>
      </c>
    </row>
    <row r="61" spans="1:4" x14ac:dyDescent="0.25">
      <c r="A61" t="s">
        <v>74</v>
      </c>
      <c r="B61" t="s">
        <v>2103</v>
      </c>
      <c r="C61" t="s">
        <v>79</v>
      </c>
      <c r="D61" t="str">
        <f t="shared" si="0"/>
        <v>pdf</v>
      </c>
    </row>
    <row r="62" spans="1:4" x14ac:dyDescent="0.25">
      <c r="A62" t="s">
        <v>74</v>
      </c>
      <c r="B62" t="s">
        <v>2103</v>
      </c>
      <c r="C62" t="s">
        <v>80</v>
      </c>
      <c r="D62" t="str">
        <f t="shared" si="0"/>
        <v>pdf</v>
      </c>
    </row>
    <row r="63" spans="1:4" x14ac:dyDescent="0.25">
      <c r="A63" t="s">
        <v>74</v>
      </c>
      <c r="B63" t="s">
        <v>2103</v>
      </c>
      <c r="C63" t="s">
        <v>81</v>
      </c>
      <c r="D63" t="str">
        <f t="shared" si="0"/>
        <v>pdf</v>
      </c>
    </row>
    <row r="64" spans="1:4" x14ac:dyDescent="0.25">
      <c r="A64" t="s">
        <v>74</v>
      </c>
      <c r="B64" t="s">
        <v>2103</v>
      </c>
      <c r="C64" t="s">
        <v>82</v>
      </c>
      <c r="D64" t="str">
        <f t="shared" si="0"/>
        <v>pdf</v>
      </c>
    </row>
    <row r="65" spans="1:4" x14ac:dyDescent="0.25">
      <c r="A65" t="s">
        <v>74</v>
      </c>
      <c r="B65" t="s">
        <v>2103</v>
      </c>
      <c r="C65" t="s">
        <v>83</v>
      </c>
      <c r="D65" t="str">
        <f t="shared" si="0"/>
        <v>pdf</v>
      </c>
    </row>
    <row r="66" spans="1:4" x14ac:dyDescent="0.25">
      <c r="A66" t="s">
        <v>74</v>
      </c>
      <c r="B66" t="s">
        <v>2103</v>
      </c>
      <c r="C66" t="s">
        <v>84</v>
      </c>
      <c r="D66" t="str">
        <f t="shared" si="0"/>
        <v>las</v>
      </c>
    </row>
    <row r="67" spans="1:4" x14ac:dyDescent="0.25">
      <c r="A67" t="s">
        <v>74</v>
      </c>
      <c r="B67" t="s">
        <v>2103</v>
      </c>
      <c r="C67" t="s">
        <v>85</v>
      </c>
      <c r="D67" t="str">
        <f t="shared" ref="D67:D130" si="1">IF(ISNUMBER(SEARCH(".pdf",C67)),"pdf",IF(ISNUMBER(SEARCH(".tif",C67)),"tif",IF(ISNUMBER(SEARCH(".las",C67)),"las",IF(ISNUMBER(SEARCH(".sdg",C67)),"sdg",IF(ISNUMBER(SEARCH(".xlsx",C67)),"xlsx",IF(ISNUMBER(SEARCH(".docx",C67)),"docx",IF(ISNUMBER(SEARCH(".rhistory",C67)),"rhistory",IF(ISNUMBER(SEARCH(".db",C67)),"db",IF(ISNUMBER(SEARCH(".jpg",C67)),"jpg",IF(ISNUMBER(SEARCH(".png",C67)),"png",IF(ISNUMBER(SEARCH(".mdb",C67)),"mdb",IF(ISNUMBER(SEARCH(".xml",C67)),"xml",IF(ISNUMBER(SEARCH(".xls",C67)),"xls",IF(ISNUMBER(SEARCH(".txt",C67)),"txt",IF(ISNUMBER(SEARCH(".tsf",C67)),"tsf",IF(ISNUMBER(SEARCH(".sch",C67)),"sch","ZIP oder R"))))))))))))))))</f>
        <v>las</v>
      </c>
    </row>
    <row r="68" spans="1:4" x14ac:dyDescent="0.25">
      <c r="A68" t="s">
        <v>74</v>
      </c>
      <c r="B68" t="s">
        <v>2103</v>
      </c>
      <c r="C68" t="s">
        <v>86</v>
      </c>
      <c r="D68" t="str">
        <f t="shared" si="1"/>
        <v>xlsx</v>
      </c>
    </row>
    <row r="69" spans="1:4" x14ac:dyDescent="0.25">
      <c r="A69" t="s">
        <v>74</v>
      </c>
      <c r="B69" t="s">
        <v>2103</v>
      </c>
      <c r="C69" t="s">
        <v>87</v>
      </c>
      <c r="D69" t="str">
        <f t="shared" si="1"/>
        <v>pdf</v>
      </c>
    </row>
    <row r="70" spans="1:4" x14ac:dyDescent="0.25">
      <c r="A70" t="s">
        <v>74</v>
      </c>
      <c r="B70" t="s">
        <v>2103</v>
      </c>
      <c r="C70" t="s">
        <v>88</v>
      </c>
      <c r="D70" t="str">
        <f t="shared" si="1"/>
        <v>pdf</v>
      </c>
    </row>
    <row r="71" spans="1:4" x14ac:dyDescent="0.25">
      <c r="A71" t="s">
        <v>74</v>
      </c>
      <c r="B71" t="s">
        <v>2103</v>
      </c>
      <c r="C71" t="s">
        <v>89</v>
      </c>
      <c r="D71" t="str">
        <f t="shared" si="1"/>
        <v>pdf</v>
      </c>
    </row>
    <row r="72" spans="1:4" x14ac:dyDescent="0.25">
      <c r="A72" t="s">
        <v>90</v>
      </c>
      <c r="B72" t="s">
        <v>2103</v>
      </c>
      <c r="C72" t="s">
        <v>84</v>
      </c>
      <c r="D72" t="str">
        <f t="shared" si="1"/>
        <v>las</v>
      </c>
    </row>
    <row r="73" spans="1:4" x14ac:dyDescent="0.25">
      <c r="A73" t="s">
        <v>90</v>
      </c>
      <c r="B73" t="s">
        <v>2103</v>
      </c>
      <c r="C73" t="s">
        <v>85</v>
      </c>
      <c r="D73" t="str">
        <f t="shared" si="1"/>
        <v>las</v>
      </c>
    </row>
    <row r="74" spans="1:4" x14ac:dyDescent="0.25">
      <c r="A74" t="s">
        <v>90</v>
      </c>
      <c r="B74" t="s">
        <v>2103</v>
      </c>
      <c r="C74" t="s">
        <v>91</v>
      </c>
      <c r="D74" t="str">
        <f t="shared" si="1"/>
        <v>sdg</v>
      </c>
    </row>
    <row r="75" spans="1:4" x14ac:dyDescent="0.25">
      <c r="A75" t="s">
        <v>90</v>
      </c>
      <c r="B75" t="s">
        <v>2103</v>
      </c>
      <c r="C75" t="s">
        <v>92</v>
      </c>
      <c r="D75" t="str">
        <f t="shared" si="1"/>
        <v>xml</v>
      </c>
    </row>
    <row r="76" spans="1:4" x14ac:dyDescent="0.25">
      <c r="A76" t="s">
        <v>93</v>
      </c>
      <c r="B76" t="s">
        <v>2104</v>
      </c>
      <c r="C76" t="s">
        <v>94</v>
      </c>
      <c r="D76" t="str">
        <f t="shared" si="1"/>
        <v>las</v>
      </c>
    </row>
    <row r="77" spans="1:4" x14ac:dyDescent="0.25">
      <c r="A77" t="s">
        <v>93</v>
      </c>
      <c r="B77" t="s">
        <v>2104</v>
      </c>
      <c r="C77" t="s">
        <v>95</v>
      </c>
      <c r="D77" t="str">
        <f t="shared" si="1"/>
        <v>las</v>
      </c>
    </row>
    <row r="78" spans="1:4" x14ac:dyDescent="0.25">
      <c r="A78" t="s">
        <v>93</v>
      </c>
      <c r="B78" t="s">
        <v>2104</v>
      </c>
      <c r="C78" t="s">
        <v>96</v>
      </c>
      <c r="D78" t="str">
        <f t="shared" si="1"/>
        <v>sdg</v>
      </c>
    </row>
    <row r="79" spans="1:4" x14ac:dyDescent="0.25">
      <c r="A79" t="s">
        <v>93</v>
      </c>
      <c r="B79" t="s">
        <v>2104</v>
      </c>
      <c r="C79" t="s">
        <v>97</v>
      </c>
      <c r="D79" t="str">
        <f t="shared" si="1"/>
        <v>xlsx</v>
      </c>
    </row>
    <row r="80" spans="1:4" x14ac:dyDescent="0.25">
      <c r="A80" t="s">
        <v>98</v>
      </c>
      <c r="B80" t="s">
        <v>2105</v>
      </c>
      <c r="C80" t="s">
        <v>99</v>
      </c>
      <c r="D80" t="str">
        <f t="shared" si="1"/>
        <v>las</v>
      </c>
    </row>
    <row r="81" spans="1:4" x14ac:dyDescent="0.25">
      <c r="A81" t="s">
        <v>98</v>
      </c>
      <c r="B81" t="s">
        <v>2105</v>
      </c>
      <c r="C81" t="s">
        <v>100</v>
      </c>
      <c r="D81" t="str">
        <f t="shared" si="1"/>
        <v>las</v>
      </c>
    </row>
    <row r="82" spans="1:4" x14ac:dyDescent="0.25">
      <c r="A82" t="s">
        <v>98</v>
      </c>
      <c r="B82" t="s">
        <v>2105</v>
      </c>
      <c r="C82" t="s">
        <v>101</v>
      </c>
      <c r="D82" t="str">
        <f t="shared" si="1"/>
        <v>sdg</v>
      </c>
    </row>
    <row r="83" spans="1:4" x14ac:dyDescent="0.25">
      <c r="A83" t="s">
        <v>98</v>
      </c>
      <c r="B83" t="s">
        <v>2105</v>
      </c>
      <c r="C83" t="s">
        <v>102</v>
      </c>
      <c r="D83" t="str">
        <f t="shared" si="1"/>
        <v>xlsx</v>
      </c>
    </row>
    <row r="84" spans="1:4" x14ac:dyDescent="0.25">
      <c r="A84" t="s">
        <v>103</v>
      </c>
      <c r="B84" t="s">
        <v>2106</v>
      </c>
      <c r="C84" t="s">
        <v>104</v>
      </c>
      <c r="D84" t="str">
        <f t="shared" si="1"/>
        <v>las</v>
      </c>
    </row>
    <row r="85" spans="1:4" x14ac:dyDescent="0.25">
      <c r="A85" t="s">
        <v>103</v>
      </c>
      <c r="B85" t="s">
        <v>2106</v>
      </c>
      <c r="C85" t="s">
        <v>105</v>
      </c>
      <c r="D85" t="str">
        <f t="shared" si="1"/>
        <v>las</v>
      </c>
    </row>
    <row r="86" spans="1:4" x14ac:dyDescent="0.25">
      <c r="A86" t="s">
        <v>103</v>
      </c>
      <c r="B86" t="s">
        <v>2106</v>
      </c>
      <c r="C86" t="s">
        <v>106</v>
      </c>
      <c r="D86" t="str">
        <f t="shared" si="1"/>
        <v>las</v>
      </c>
    </row>
    <row r="87" spans="1:4" x14ac:dyDescent="0.25">
      <c r="A87" t="s">
        <v>103</v>
      </c>
      <c r="B87" t="s">
        <v>2106</v>
      </c>
      <c r="C87" t="s">
        <v>107</v>
      </c>
      <c r="D87" t="str">
        <f t="shared" si="1"/>
        <v>pdf</v>
      </c>
    </row>
    <row r="88" spans="1:4" x14ac:dyDescent="0.25">
      <c r="A88" t="s">
        <v>103</v>
      </c>
      <c r="B88" t="s">
        <v>2106</v>
      </c>
      <c r="C88" t="s">
        <v>108</v>
      </c>
      <c r="D88" t="str">
        <f t="shared" si="1"/>
        <v>sdg</v>
      </c>
    </row>
    <row r="89" spans="1:4" x14ac:dyDescent="0.25">
      <c r="A89" t="s">
        <v>103</v>
      </c>
      <c r="B89" t="s">
        <v>2106</v>
      </c>
      <c r="C89" t="s">
        <v>109</v>
      </c>
      <c r="D89" t="str">
        <f t="shared" si="1"/>
        <v>xlsx</v>
      </c>
    </row>
    <row r="90" spans="1:4" x14ac:dyDescent="0.25">
      <c r="A90" t="s">
        <v>103</v>
      </c>
      <c r="B90" t="s">
        <v>2106</v>
      </c>
      <c r="C90" t="s">
        <v>110</v>
      </c>
      <c r="D90" t="str">
        <f t="shared" si="1"/>
        <v>pdf</v>
      </c>
    </row>
    <row r="91" spans="1:4" x14ac:dyDescent="0.25">
      <c r="A91" t="s">
        <v>103</v>
      </c>
      <c r="B91" t="s">
        <v>2106</v>
      </c>
      <c r="C91" t="s">
        <v>111</v>
      </c>
      <c r="D91" t="str">
        <f t="shared" si="1"/>
        <v>pdf</v>
      </c>
    </row>
    <row r="92" spans="1:4" x14ac:dyDescent="0.25">
      <c r="A92" t="s">
        <v>112</v>
      </c>
      <c r="B92" t="s">
        <v>2269</v>
      </c>
      <c r="C92" t="s">
        <v>113</v>
      </c>
      <c r="D92" t="str">
        <f t="shared" si="1"/>
        <v>jpg</v>
      </c>
    </row>
    <row r="93" spans="1:4" x14ac:dyDescent="0.25">
      <c r="A93" t="s">
        <v>112</v>
      </c>
      <c r="B93" t="s">
        <v>2269</v>
      </c>
      <c r="C93" t="s">
        <v>114</v>
      </c>
      <c r="D93" t="str">
        <f t="shared" si="1"/>
        <v>jpg</v>
      </c>
    </row>
    <row r="94" spans="1:4" x14ac:dyDescent="0.25">
      <c r="A94" t="s">
        <v>112</v>
      </c>
      <c r="B94" t="s">
        <v>2269</v>
      </c>
      <c r="C94" t="s">
        <v>115</v>
      </c>
      <c r="D94" t="str">
        <f t="shared" si="1"/>
        <v>jpg</v>
      </c>
    </row>
    <row r="95" spans="1:4" x14ac:dyDescent="0.25">
      <c r="A95" t="s">
        <v>112</v>
      </c>
      <c r="B95" t="s">
        <v>2269</v>
      </c>
      <c r="C95" t="s">
        <v>116</v>
      </c>
      <c r="D95" t="str">
        <f t="shared" si="1"/>
        <v>jpg</v>
      </c>
    </row>
    <row r="96" spans="1:4" x14ac:dyDescent="0.25">
      <c r="A96" t="s">
        <v>112</v>
      </c>
      <c r="B96" t="s">
        <v>2269</v>
      </c>
      <c r="C96" t="s">
        <v>117</v>
      </c>
      <c r="D96" t="str">
        <f t="shared" si="1"/>
        <v>jpg</v>
      </c>
    </row>
    <row r="97" spans="1:4" x14ac:dyDescent="0.25">
      <c r="A97" t="s">
        <v>112</v>
      </c>
      <c r="B97" t="s">
        <v>2269</v>
      </c>
      <c r="C97" t="s">
        <v>118</v>
      </c>
      <c r="D97" t="str">
        <f t="shared" si="1"/>
        <v>jpg</v>
      </c>
    </row>
    <row r="98" spans="1:4" x14ac:dyDescent="0.25">
      <c r="A98" t="s">
        <v>112</v>
      </c>
      <c r="B98" t="s">
        <v>2269</v>
      </c>
      <c r="C98" t="s">
        <v>119</v>
      </c>
      <c r="D98" t="str">
        <f t="shared" si="1"/>
        <v>jpg</v>
      </c>
    </row>
    <row r="99" spans="1:4" x14ac:dyDescent="0.25">
      <c r="A99" t="s">
        <v>112</v>
      </c>
      <c r="B99" t="s">
        <v>2269</v>
      </c>
      <c r="C99" t="s">
        <v>120</v>
      </c>
      <c r="D99" t="str">
        <f t="shared" si="1"/>
        <v>jpg</v>
      </c>
    </row>
    <row r="100" spans="1:4" x14ac:dyDescent="0.25">
      <c r="A100" t="s">
        <v>112</v>
      </c>
      <c r="B100" t="s">
        <v>2269</v>
      </c>
      <c r="C100" t="s">
        <v>121</v>
      </c>
      <c r="D100" t="str">
        <f t="shared" si="1"/>
        <v>jpg</v>
      </c>
    </row>
    <row r="101" spans="1:4" x14ac:dyDescent="0.25">
      <c r="A101" t="s">
        <v>112</v>
      </c>
      <c r="B101" t="s">
        <v>2269</v>
      </c>
      <c r="C101" t="s">
        <v>122</v>
      </c>
      <c r="D101" t="str">
        <f t="shared" si="1"/>
        <v>jpg</v>
      </c>
    </row>
    <row r="102" spans="1:4" x14ac:dyDescent="0.25">
      <c r="A102" t="s">
        <v>112</v>
      </c>
      <c r="B102" t="s">
        <v>2269</v>
      </c>
      <c r="C102" t="s">
        <v>123</v>
      </c>
      <c r="D102" t="str">
        <f t="shared" si="1"/>
        <v>jpg</v>
      </c>
    </row>
    <row r="103" spans="1:4" x14ac:dyDescent="0.25">
      <c r="A103" t="s">
        <v>112</v>
      </c>
      <c r="B103" t="s">
        <v>2269</v>
      </c>
      <c r="C103" t="s">
        <v>124</v>
      </c>
      <c r="D103" t="str">
        <f t="shared" si="1"/>
        <v>jpg</v>
      </c>
    </row>
    <row r="104" spans="1:4" x14ac:dyDescent="0.25">
      <c r="A104" t="s">
        <v>112</v>
      </c>
      <c r="B104" t="s">
        <v>2269</v>
      </c>
      <c r="C104" t="s">
        <v>125</v>
      </c>
      <c r="D104" t="str">
        <f t="shared" si="1"/>
        <v>jpg</v>
      </c>
    </row>
    <row r="105" spans="1:4" x14ac:dyDescent="0.25">
      <c r="A105" t="s">
        <v>112</v>
      </c>
      <c r="B105" t="s">
        <v>2269</v>
      </c>
      <c r="C105" t="s">
        <v>126</v>
      </c>
      <c r="D105" t="str">
        <f t="shared" si="1"/>
        <v>jpg</v>
      </c>
    </row>
    <row r="106" spans="1:4" x14ac:dyDescent="0.25">
      <c r="A106" t="s">
        <v>112</v>
      </c>
      <c r="B106" t="s">
        <v>2269</v>
      </c>
      <c r="C106" t="s">
        <v>127</v>
      </c>
      <c r="D106" t="str">
        <f t="shared" si="1"/>
        <v>jpg</v>
      </c>
    </row>
    <row r="107" spans="1:4" x14ac:dyDescent="0.25">
      <c r="A107" t="s">
        <v>112</v>
      </c>
      <c r="B107" t="s">
        <v>2269</v>
      </c>
      <c r="C107" t="s">
        <v>128</v>
      </c>
      <c r="D107" t="str">
        <f t="shared" si="1"/>
        <v>jpg</v>
      </c>
    </row>
    <row r="108" spans="1:4" x14ac:dyDescent="0.25">
      <c r="A108" t="s">
        <v>112</v>
      </c>
      <c r="B108" t="s">
        <v>2269</v>
      </c>
      <c r="C108" t="s">
        <v>129</v>
      </c>
      <c r="D108" t="str">
        <f t="shared" si="1"/>
        <v>jpg</v>
      </c>
    </row>
    <row r="109" spans="1:4" x14ac:dyDescent="0.25">
      <c r="A109" t="s">
        <v>112</v>
      </c>
      <c r="B109" t="s">
        <v>2269</v>
      </c>
      <c r="C109" t="s">
        <v>130</v>
      </c>
      <c r="D109" t="str">
        <f t="shared" si="1"/>
        <v>jpg</v>
      </c>
    </row>
    <row r="110" spans="1:4" x14ac:dyDescent="0.25">
      <c r="A110" t="s">
        <v>112</v>
      </c>
      <c r="B110" t="s">
        <v>2269</v>
      </c>
      <c r="C110" t="s">
        <v>131</v>
      </c>
      <c r="D110" t="str">
        <f t="shared" si="1"/>
        <v>jpg</v>
      </c>
    </row>
    <row r="111" spans="1:4" x14ac:dyDescent="0.25">
      <c r="A111" t="s">
        <v>112</v>
      </c>
      <c r="B111" t="s">
        <v>2269</v>
      </c>
      <c r="C111" t="s">
        <v>132</v>
      </c>
      <c r="D111" t="str">
        <f t="shared" si="1"/>
        <v>jpg</v>
      </c>
    </row>
    <row r="112" spans="1:4" x14ac:dyDescent="0.25">
      <c r="A112" t="s">
        <v>112</v>
      </c>
      <c r="B112" t="s">
        <v>2269</v>
      </c>
      <c r="C112" t="s">
        <v>133</v>
      </c>
      <c r="D112" t="str">
        <f t="shared" si="1"/>
        <v>jpg</v>
      </c>
    </row>
    <row r="113" spans="1:4" x14ac:dyDescent="0.25">
      <c r="A113" t="s">
        <v>112</v>
      </c>
      <c r="B113" t="s">
        <v>2269</v>
      </c>
      <c r="C113" t="s">
        <v>134</v>
      </c>
      <c r="D113" t="str">
        <f t="shared" si="1"/>
        <v>jpg</v>
      </c>
    </row>
    <row r="114" spans="1:4" x14ac:dyDescent="0.25">
      <c r="A114" t="s">
        <v>112</v>
      </c>
      <c r="B114" t="s">
        <v>2269</v>
      </c>
      <c r="C114" t="s">
        <v>135</v>
      </c>
      <c r="D114" t="str">
        <f t="shared" si="1"/>
        <v>jpg</v>
      </c>
    </row>
    <row r="115" spans="1:4" x14ac:dyDescent="0.25">
      <c r="A115" t="s">
        <v>112</v>
      </c>
      <c r="B115" t="s">
        <v>2269</v>
      </c>
      <c r="C115" t="s">
        <v>136</v>
      </c>
      <c r="D115" t="str">
        <f t="shared" si="1"/>
        <v>jpg</v>
      </c>
    </row>
    <row r="116" spans="1:4" x14ac:dyDescent="0.25">
      <c r="A116" t="s">
        <v>112</v>
      </c>
      <c r="B116" t="s">
        <v>2269</v>
      </c>
      <c r="C116" t="s">
        <v>137</v>
      </c>
      <c r="D116" t="str">
        <f t="shared" si="1"/>
        <v>jpg</v>
      </c>
    </row>
    <row r="117" spans="1:4" x14ac:dyDescent="0.25">
      <c r="A117" t="s">
        <v>112</v>
      </c>
      <c r="B117" t="s">
        <v>2269</v>
      </c>
      <c r="C117" t="s">
        <v>138</v>
      </c>
      <c r="D117" t="str">
        <f t="shared" si="1"/>
        <v>jpg</v>
      </c>
    </row>
    <row r="118" spans="1:4" x14ac:dyDescent="0.25">
      <c r="A118" t="s">
        <v>112</v>
      </c>
      <c r="B118" t="s">
        <v>2269</v>
      </c>
      <c r="C118" t="s">
        <v>139</v>
      </c>
      <c r="D118" t="str">
        <f t="shared" si="1"/>
        <v>jpg</v>
      </c>
    </row>
    <row r="119" spans="1:4" x14ac:dyDescent="0.25">
      <c r="A119" t="s">
        <v>112</v>
      </c>
      <c r="B119" t="s">
        <v>2269</v>
      </c>
      <c r="C119" t="s">
        <v>140</v>
      </c>
      <c r="D119" t="str">
        <f t="shared" si="1"/>
        <v>jpg</v>
      </c>
    </row>
    <row r="120" spans="1:4" x14ac:dyDescent="0.25">
      <c r="A120" t="s">
        <v>112</v>
      </c>
      <c r="B120" t="s">
        <v>2269</v>
      </c>
      <c r="C120" t="s">
        <v>141</v>
      </c>
      <c r="D120" t="str">
        <f t="shared" si="1"/>
        <v>jpg</v>
      </c>
    </row>
    <row r="121" spans="1:4" x14ac:dyDescent="0.25">
      <c r="A121" t="s">
        <v>112</v>
      </c>
      <c r="B121" t="s">
        <v>2269</v>
      </c>
      <c r="C121" t="s">
        <v>142</v>
      </c>
      <c r="D121" t="str">
        <f t="shared" si="1"/>
        <v>jpg</v>
      </c>
    </row>
    <row r="122" spans="1:4" x14ac:dyDescent="0.25">
      <c r="A122" t="s">
        <v>112</v>
      </c>
      <c r="B122" t="s">
        <v>2269</v>
      </c>
      <c r="C122" t="s">
        <v>143</v>
      </c>
      <c r="D122" t="str">
        <f t="shared" si="1"/>
        <v>jpg</v>
      </c>
    </row>
    <row r="123" spans="1:4" x14ac:dyDescent="0.25">
      <c r="A123" t="s">
        <v>112</v>
      </c>
      <c r="B123" t="s">
        <v>2269</v>
      </c>
      <c r="C123" t="s">
        <v>144</v>
      </c>
      <c r="D123" t="str">
        <f t="shared" si="1"/>
        <v>jpg</v>
      </c>
    </row>
    <row r="124" spans="1:4" x14ac:dyDescent="0.25">
      <c r="A124" t="s">
        <v>112</v>
      </c>
      <c r="B124" t="s">
        <v>2269</v>
      </c>
      <c r="C124" t="s">
        <v>145</v>
      </c>
      <c r="D124" t="str">
        <f t="shared" si="1"/>
        <v>jpg</v>
      </c>
    </row>
    <row r="125" spans="1:4" x14ac:dyDescent="0.25">
      <c r="A125" t="s">
        <v>112</v>
      </c>
      <c r="B125" t="s">
        <v>2269</v>
      </c>
      <c r="C125" t="s">
        <v>146</v>
      </c>
      <c r="D125" t="str">
        <f t="shared" si="1"/>
        <v>jpg</v>
      </c>
    </row>
    <row r="126" spans="1:4" x14ac:dyDescent="0.25">
      <c r="A126" t="s">
        <v>112</v>
      </c>
      <c r="B126" t="s">
        <v>2269</v>
      </c>
      <c r="C126" t="s">
        <v>147</v>
      </c>
      <c r="D126" t="str">
        <f t="shared" si="1"/>
        <v>jpg</v>
      </c>
    </row>
    <row r="127" spans="1:4" x14ac:dyDescent="0.25">
      <c r="A127" t="s">
        <v>112</v>
      </c>
      <c r="B127" t="s">
        <v>2269</v>
      </c>
      <c r="C127" t="s">
        <v>148</v>
      </c>
      <c r="D127" t="str">
        <f t="shared" si="1"/>
        <v>jpg</v>
      </c>
    </row>
    <row r="128" spans="1:4" x14ac:dyDescent="0.25">
      <c r="A128" t="s">
        <v>112</v>
      </c>
      <c r="B128" t="s">
        <v>2269</v>
      </c>
      <c r="C128" t="s">
        <v>149</v>
      </c>
      <c r="D128" t="str">
        <f t="shared" si="1"/>
        <v>jpg</v>
      </c>
    </row>
    <row r="129" spans="1:4" x14ac:dyDescent="0.25">
      <c r="A129" t="s">
        <v>112</v>
      </c>
      <c r="B129" t="s">
        <v>2269</v>
      </c>
      <c r="C129" t="s">
        <v>150</v>
      </c>
      <c r="D129" t="str">
        <f t="shared" si="1"/>
        <v>jpg</v>
      </c>
    </row>
    <row r="130" spans="1:4" x14ac:dyDescent="0.25">
      <c r="A130" t="s">
        <v>112</v>
      </c>
      <c r="B130" t="s">
        <v>2269</v>
      </c>
      <c r="C130" t="s">
        <v>151</v>
      </c>
      <c r="D130" t="str">
        <f t="shared" si="1"/>
        <v>jpg</v>
      </c>
    </row>
    <row r="131" spans="1:4" x14ac:dyDescent="0.25">
      <c r="A131" t="s">
        <v>112</v>
      </c>
      <c r="B131" t="s">
        <v>2269</v>
      </c>
      <c r="C131" t="s">
        <v>152</v>
      </c>
      <c r="D131" t="str">
        <f t="shared" ref="D131:D194" si="2">IF(ISNUMBER(SEARCH(".pdf",C131)),"pdf",IF(ISNUMBER(SEARCH(".tif",C131)),"tif",IF(ISNUMBER(SEARCH(".las",C131)),"las",IF(ISNUMBER(SEARCH(".sdg",C131)),"sdg",IF(ISNUMBER(SEARCH(".xlsx",C131)),"xlsx",IF(ISNUMBER(SEARCH(".docx",C131)),"docx",IF(ISNUMBER(SEARCH(".rhistory",C131)),"rhistory",IF(ISNUMBER(SEARCH(".db",C131)),"db",IF(ISNUMBER(SEARCH(".jpg",C131)),"jpg",IF(ISNUMBER(SEARCH(".png",C131)),"png",IF(ISNUMBER(SEARCH(".mdb",C131)),"mdb",IF(ISNUMBER(SEARCH(".xml",C131)),"xml",IF(ISNUMBER(SEARCH(".xls",C131)),"xls",IF(ISNUMBER(SEARCH(".txt",C131)),"txt",IF(ISNUMBER(SEARCH(".tsf",C131)),"tsf",IF(ISNUMBER(SEARCH(".sch",C131)),"sch","ZIP oder R"))))))))))))))))</f>
        <v>jpg</v>
      </c>
    </row>
    <row r="132" spans="1:4" x14ac:dyDescent="0.25">
      <c r="A132" t="s">
        <v>112</v>
      </c>
      <c r="B132" t="s">
        <v>2269</v>
      </c>
      <c r="C132" t="s">
        <v>153</v>
      </c>
      <c r="D132" t="str">
        <f t="shared" si="2"/>
        <v>jpg</v>
      </c>
    </row>
    <row r="133" spans="1:4" x14ac:dyDescent="0.25">
      <c r="A133" t="s">
        <v>112</v>
      </c>
      <c r="B133" t="s">
        <v>2269</v>
      </c>
      <c r="C133" t="s">
        <v>154</v>
      </c>
      <c r="D133" t="str">
        <f t="shared" si="2"/>
        <v>jpg</v>
      </c>
    </row>
    <row r="134" spans="1:4" x14ac:dyDescent="0.25">
      <c r="A134" t="s">
        <v>112</v>
      </c>
      <c r="B134" t="s">
        <v>2269</v>
      </c>
      <c r="C134" t="s">
        <v>155</v>
      </c>
      <c r="D134" t="str">
        <f t="shared" si="2"/>
        <v>jpg</v>
      </c>
    </row>
    <row r="135" spans="1:4" x14ac:dyDescent="0.25">
      <c r="A135" t="s">
        <v>112</v>
      </c>
      <c r="B135" t="s">
        <v>2269</v>
      </c>
      <c r="C135" t="s">
        <v>156</v>
      </c>
      <c r="D135" t="str">
        <f t="shared" si="2"/>
        <v>jpg</v>
      </c>
    </row>
    <row r="136" spans="1:4" x14ac:dyDescent="0.25">
      <c r="A136" t="s">
        <v>112</v>
      </c>
      <c r="B136" t="s">
        <v>2269</v>
      </c>
      <c r="C136" t="s">
        <v>157</v>
      </c>
      <c r="D136" t="str">
        <f t="shared" si="2"/>
        <v>jpg</v>
      </c>
    </row>
    <row r="137" spans="1:4" x14ac:dyDescent="0.25">
      <c r="A137" t="s">
        <v>112</v>
      </c>
      <c r="B137" t="s">
        <v>2269</v>
      </c>
      <c r="C137" t="s">
        <v>158</v>
      </c>
      <c r="D137" t="str">
        <f t="shared" si="2"/>
        <v>jpg</v>
      </c>
    </row>
    <row r="138" spans="1:4" x14ac:dyDescent="0.25">
      <c r="A138" t="s">
        <v>112</v>
      </c>
      <c r="B138" t="s">
        <v>2269</v>
      </c>
      <c r="C138" t="s">
        <v>159</v>
      </c>
      <c r="D138" t="str">
        <f t="shared" si="2"/>
        <v>jpg</v>
      </c>
    </row>
    <row r="139" spans="1:4" x14ac:dyDescent="0.25">
      <c r="A139" t="s">
        <v>112</v>
      </c>
      <c r="B139" t="s">
        <v>2269</v>
      </c>
      <c r="C139" t="s">
        <v>160</v>
      </c>
      <c r="D139" t="str">
        <f t="shared" si="2"/>
        <v>jpg</v>
      </c>
    </row>
    <row r="140" spans="1:4" x14ac:dyDescent="0.25">
      <c r="A140" t="s">
        <v>112</v>
      </c>
      <c r="B140" t="s">
        <v>2269</v>
      </c>
      <c r="C140" t="s">
        <v>161</v>
      </c>
      <c r="D140" t="str">
        <f t="shared" si="2"/>
        <v>jpg</v>
      </c>
    </row>
    <row r="141" spans="1:4" x14ac:dyDescent="0.25">
      <c r="A141" t="s">
        <v>112</v>
      </c>
      <c r="B141" t="s">
        <v>2269</v>
      </c>
      <c r="C141" t="s">
        <v>162</v>
      </c>
      <c r="D141" t="str">
        <f t="shared" si="2"/>
        <v>jpg</v>
      </c>
    </row>
    <row r="142" spans="1:4" x14ac:dyDescent="0.25">
      <c r="A142" t="s">
        <v>112</v>
      </c>
      <c r="B142" t="s">
        <v>2269</v>
      </c>
      <c r="C142" t="s">
        <v>163</v>
      </c>
      <c r="D142" t="str">
        <f t="shared" si="2"/>
        <v>jpg</v>
      </c>
    </row>
    <row r="143" spans="1:4" x14ac:dyDescent="0.25">
      <c r="A143" t="s">
        <v>112</v>
      </c>
      <c r="B143" t="s">
        <v>2269</v>
      </c>
      <c r="C143" t="s">
        <v>164</v>
      </c>
      <c r="D143" t="str">
        <f t="shared" si="2"/>
        <v>jpg</v>
      </c>
    </row>
    <row r="144" spans="1:4" x14ac:dyDescent="0.25">
      <c r="A144" t="s">
        <v>112</v>
      </c>
      <c r="B144" t="s">
        <v>2269</v>
      </c>
      <c r="C144" t="s">
        <v>165</v>
      </c>
      <c r="D144" t="str">
        <f t="shared" si="2"/>
        <v>jpg</v>
      </c>
    </row>
    <row r="145" spans="1:4" x14ac:dyDescent="0.25">
      <c r="A145" t="s">
        <v>112</v>
      </c>
      <c r="B145" t="s">
        <v>2269</v>
      </c>
      <c r="C145" t="s">
        <v>166</v>
      </c>
      <c r="D145" t="str">
        <f t="shared" si="2"/>
        <v>jpg</v>
      </c>
    </row>
    <row r="146" spans="1:4" x14ac:dyDescent="0.25">
      <c r="A146" t="s">
        <v>112</v>
      </c>
      <c r="B146" t="s">
        <v>2269</v>
      </c>
      <c r="C146" t="s">
        <v>167</v>
      </c>
      <c r="D146" t="str">
        <f t="shared" si="2"/>
        <v>jpg</v>
      </c>
    </row>
    <row r="147" spans="1:4" x14ac:dyDescent="0.25">
      <c r="A147" t="s">
        <v>112</v>
      </c>
      <c r="B147" t="s">
        <v>2269</v>
      </c>
      <c r="C147" t="s">
        <v>168</v>
      </c>
      <c r="D147" t="str">
        <f t="shared" si="2"/>
        <v>jpg</v>
      </c>
    </row>
    <row r="148" spans="1:4" x14ac:dyDescent="0.25">
      <c r="A148" t="s">
        <v>112</v>
      </c>
      <c r="B148" t="s">
        <v>2269</v>
      </c>
      <c r="C148" t="s">
        <v>169</v>
      </c>
      <c r="D148" t="str">
        <f t="shared" si="2"/>
        <v>jpg</v>
      </c>
    </row>
    <row r="149" spans="1:4" x14ac:dyDescent="0.25">
      <c r="A149" t="s">
        <v>112</v>
      </c>
      <c r="B149" t="s">
        <v>2269</v>
      </c>
      <c r="C149" t="s">
        <v>170</v>
      </c>
      <c r="D149" t="str">
        <f t="shared" si="2"/>
        <v>jpg</v>
      </c>
    </row>
    <row r="150" spans="1:4" x14ac:dyDescent="0.25">
      <c r="A150" t="s">
        <v>112</v>
      </c>
      <c r="B150" t="s">
        <v>2269</v>
      </c>
      <c r="C150" t="s">
        <v>171</v>
      </c>
      <c r="D150" t="str">
        <f t="shared" si="2"/>
        <v>jpg</v>
      </c>
    </row>
    <row r="151" spans="1:4" x14ac:dyDescent="0.25">
      <c r="A151" t="s">
        <v>112</v>
      </c>
      <c r="B151" t="s">
        <v>2269</v>
      </c>
      <c r="C151" t="s">
        <v>172</v>
      </c>
      <c r="D151" t="str">
        <f t="shared" si="2"/>
        <v>jpg</v>
      </c>
    </row>
    <row r="152" spans="1:4" x14ac:dyDescent="0.25">
      <c r="A152" t="s">
        <v>112</v>
      </c>
      <c r="B152" t="s">
        <v>2269</v>
      </c>
      <c r="C152" t="s">
        <v>173</v>
      </c>
      <c r="D152" t="str">
        <f t="shared" si="2"/>
        <v>jpg</v>
      </c>
    </row>
    <row r="153" spans="1:4" x14ac:dyDescent="0.25">
      <c r="A153" t="s">
        <v>112</v>
      </c>
      <c r="B153" t="s">
        <v>2269</v>
      </c>
      <c r="C153" t="s">
        <v>174</v>
      </c>
      <c r="D153" t="str">
        <f t="shared" si="2"/>
        <v>jpg</v>
      </c>
    </row>
    <row r="154" spans="1:4" x14ac:dyDescent="0.25">
      <c r="A154" t="s">
        <v>112</v>
      </c>
      <c r="B154" t="s">
        <v>2269</v>
      </c>
      <c r="C154" t="s">
        <v>175</v>
      </c>
      <c r="D154" t="str">
        <f t="shared" si="2"/>
        <v>jpg</v>
      </c>
    </row>
    <row r="155" spans="1:4" x14ac:dyDescent="0.25">
      <c r="A155" t="s">
        <v>112</v>
      </c>
      <c r="B155" t="s">
        <v>2269</v>
      </c>
      <c r="C155" t="s">
        <v>176</v>
      </c>
      <c r="D155" t="str">
        <f t="shared" si="2"/>
        <v>jpg</v>
      </c>
    </row>
    <row r="156" spans="1:4" x14ac:dyDescent="0.25">
      <c r="A156" t="s">
        <v>112</v>
      </c>
      <c r="B156" t="s">
        <v>2269</v>
      </c>
      <c r="C156" t="s">
        <v>177</v>
      </c>
      <c r="D156" t="str">
        <f t="shared" si="2"/>
        <v>jpg</v>
      </c>
    </row>
    <row r="157" spans="1:4" x14ac:dyDescent="0.25">
      <c r="A157" t="s">
        <v>112</v>
      </c>
      <c r="B157" t="s">
        <v>2269</v>
      </c>
      <c r="C157" t="s">
        <v>178</v>
      </c>
      <c r="D157" t="str">
        <f t="shared" si="2"/>
        <v>jpg</v>
      </c>
    </row>
    <row r="158" spans="1:4" x14ac:dyDescent="0.25">
      <c r="A158" t="s">
        <v>112</v>
      </c>
      <c r="B158" t="s">
        <v>2269</v>
      </c>
      <c r="C158" t="s">
        <v>179</v>
      </c>
      <c r="D158" t="str">
        <f t="shared" si="2"/>
        <v>jpg</v>
      </c>
    </row>
    <row r="159" spans="1:4" x14ac:dyDescent="0.25">
      <c r="A159" t="s">
        <v>112</v>
      </c>
      <c r="B159" t="s">
        <v>2269</v>
      </c>
      <c r="C159" t="s">
        <v>180</v>
      </c>
      <c r="D159" t="str">
        <f t="shared" si="2"/>
        <v>jpg</v>
      </c>
    </row>
    <row r="160" spans="1:4" x14ac:dyDescent="0.25">
      <c r="A160" t="s">
        <v>112</v>
      </c>
      <c r="B160" t="s">
        <v>2269</v>
      </c>
      <c r="C160" t="s">
        <v>181</v>
      </c>
      <c r="D160" t="str">
        <f t="shared" si="2"/>
        <v>jpg</v>
      </c>
    </row>
    <row r="161" spans="1:4" x14ac:dyDescent="0.25">
      <c r="A161" t="s">
        <v>112</v>
      </c>
      <c r="B161" t="s">
        <v>2269</v>
      </c>
      <c r="C161" t="s">
        <v>182</v>
      </c>
      <c r="D161" t="str">
        <f t="shared" si="2"/>
        <v>jpg</v>
      </c>
    </row>
    <row r="162" spans="1:4" x14ac:dyDescent="0.25">
      <c r="A162" t="s">
        <v>112</v>
      </c>
      <c r="B162" t="s">
        <v>2269</v>
      </c>
      <c r="C162" t="s">
        <v>183</v>
      </c>
      <c r="D162" t="str">
        <f t="shared" si="2"/>
        <v>jpg</v>
      </c>
    </row>
    <row r="163" spans="1:4" x14ac:dyDescent="0.25">
      <c r="A163" t="s">
        <v>112</v>
      </c>
      <c r="B163" t="s">
        <v>2269</v>
      </c>
      <c r="C163" t="s">
        <v>184</v>
      </c>
      <c r="D163" t="str">
        <f t="shared" si="2"/>
        <v>jpg</v>
      </c>
    </row>
    <row r="164" spans="1:4" x14ac:dyDescent="0.25">
      <c r="A164" t="s">
        <v>112</v>
      </c>
      <c r="B164" t="s">
        <v>2269</v>
      </c>
      <c r="C164" t="s">
        <v>185</v>
      </c>
      <c r="D164" t="str">
        <f t="shared" si="2"/>
        <v>jpg</v>
      </c>
    </row>
    <row r="165" spans="1:4" x14ac:dyDescent="0.25">
      <c r="A165" t="s">
        <v>112</v>
      </c>
      <c r="B165" t="s">
        <v>2269</v>
      </c>
      <c r="C165" t="s">
        <v>186</v>
      </c>
      <c r="D165" t="str">
        <f t="shared" si="2"/>
        <v>jpg</v>
      </c>
    </row>
    <row r="166" spans="1:4" x14ac:dyDescent="0.25">
      <c r="A166" t="s">
        <v>112</v>
      </c>
      <c r="B166" t="s">
        <v>2269</v>
      </c>
      <c r="C166" t="s">
        <v>187</v>
      </c>
      <c r="D166" t="str">
        <f t="shared" si="2"/>
        <v>jpg</v>
      </c>
    </row>
    <row r="167" spans="1:4" x14ac:dyDescent="0.25">
      <c r="A167" t="s">
        <v>112</v>
      </c>
      <c r="B167" t="s">
        <v>2269</v>
      </c>
      <c r="C167" t="s">
        <v>188</v>
      </c>
      <c r="D167" t="str">
        <f t="shared" si="2"/>
        <v>jpg</v>
      </c>
    </row>
    <row r="168" spans="1:4" x14ac:dyDescent="0.25">
      <c r="A168" t="s">
        <v>112</v>
      </c>
      <c r="B168" t="s">
        <v>2269</v>
      </c>
      <c r="C168" t="s">
        <v>189</v>
      </c>
      <c r="D168" t="str">
        <f t="shared" si="2"/>
        <v>jpg</v>
      </c>
    </row>
    <row r="169" spans="1:4" x14ac:dyDescent="0.25">
      <c r="A169" t="s">
        <v>112</v>
      </c>
      <c r="B169" t="s">
        <v>2269</v>
      </c>
      <c r="C169" t="s">
        <v>190</v>
      </c>
      <c r="D169" t="str">
        <f t="shared" si="2"/>
        <v>jpg</v>
      </c>
    </row>
    <row r="170" spans="1:4" x14ac:dyDescent="0.25">
      <c r="A170" t="s">
        <v>112</v>
      </c>
      <c r="B170" t="s">
        <v>2269</v>
      </c>
      <c r="C170" t="s">
        <v>191</v>
      </c>
      <c r="D170" t="str">
        <f t="shared" si="2"/>
        <v>jpg</v>
      </c>
    </row>
    <row r="171" spans="1:4" x14ac:dyDescent="0.25">
      <c r="A171" t="s">
        <v>112</v>
      </c>
      <c r="B171" t="s">
        <v>2269</v>
      </c>
      <c r="C171" t="s">
        <v>192</v>
      </c>
      <c r="D171" t="str">
        <f t="shared" si="2"/>
        <v>jpg</v>
      </c>
    </row>
    <row r="172" spans="1:4" x14ac:dyDescent="0.25">
      <c r="A172" t="s">
        <v>112</v>
      </c>
      <c r="B172" t="s">
        <v>2269</v>
      </c>
      <c r="C172" t="s">
        <v>193</v>
      </c>
      <c r="D172" t="str">
        <f t="shared" si="2"/>
        <v>jpg</v>
      </c>
    </row>
    <row r="173" spans="1:4" x14ac:dyDescent="0.25">
      <c r="A173" t="s">
        <v>112</v>
      </c>
      <c r="B173" t="s">
        <v>2269</v>
      </c>
      <c r="C173" t="s">
        <v>194</v>
      </c>
      <c r="D173" t="str">
        <f t="shared" si="2"/>
        <v>jpg</v>
      </c>
    </row>
    <row r="174" spans="1:4" x14ac:dyDescent="0.25">
      <c r="A174" t="s">
        <v>112</v>
      </c>
      <c r="B174" t="s">
        <v>2269</v>
      </c>
      <c r="C174" t="s">
        <v>195</v>
      </c>
      <c r="D174" t="str">
        <f t="shared" si="2"/>
        <v>jpg</v>
      </c>
    </row>
    <row r="175" spans="1:4" x14ac:dyDescent="0.25">
      <c r="A175" t="s">
        <v>112</v>
      </c>
      <c r="B175" t="s">
        <v>2269</v>
      </c>
      <c r="C175" t="s">
        <v>196</v>
      </c>
      <c r="D175" t="str">
        <f t="shared" si="2"/>
        <v>jpg</v>
      </c>
    </row>
    <row r="176" spans="1:4" x14ac:dyDescent="0.25">
      <c r="A176" t="s">
        <v>112</v>
      </c>
      <c r="B176" t="s">
        <v>2269</v>
      </c>
      <c r="C176" t="s">
        <v>197</v>
      </c>
      <c r="D176" t="str">
        <f t="shared" si="2"/>
        <v>jpg</v>
      </c>
    </row>
    <row r="177" spans="1:4" x14ac:dyDescent="0.25">
      <c r="A177" t="s">
        <v>112</v>
      </c>
      <c r="B177" t="s">
        <v>2269</v>
      </c>
      <c r="C177" t="s">
        <v>198</v>
      </c>
      <c r="D177" t="str">
        <f t="shared" si="2"/>
        <v>jpg</v>
      </c>
    </row>
    <row r="178" spans="1:4" x14ac:dyDescent="0.25">
      <c r="A178" t="s">
        <v>112</v>
      </c>
      <c r="B178" t="s">
        <v>2269</v>
      </c>
      <c r="C178" t="s">
        <v>199</v>
      </c>
      <c r="D178" t="str">
        <f t="shared" si="2"/>
        <v>jpg</v>
      </c>
    </row>
    <row r="179" spans="1:4" x14ac:dyDescent="0.25">
      <c r="A179" t="s">
        <v>112</v>
      </c>
      <c r="B179" t="s">
        <v>2269</v>
      </c>
      <c r="C179" t="s">
        <v>200</v>
      </c>
      <c r="D179" t="str">
        <f t="shared" si="2"/>
        <v>jpg</v>
      </c>
    </row>
    <row r="180" spans="1:4" x14ac:dyDescent="0.25">
      <c r="A180" t="s">
        <v>112</v>
      </c>
      <c r="B180" t="s">
        <v>2269</v>
      </c>
      <c r="C180" t="s">
        <v>201</v>
      </c>
      <c r="D180" t="str">
        <f t="shared" si="2"/>
        <v>jpg</v>
      </c>
    </row>
    <row r="181" spans="1:4" x14ac:dyDescent="0.25">
      <c r="A181" t="s">
        <v>112</v>
      </c>
      <c r="B181" t="s">
        <v>2269</v>
      </c>
      <c r="C181" t="s">
        <v>202</v>
      </c>
      <c r="D181" t="str">
        <f t="shared" si="2"/>
        <v>jpg</v>
      </c>
    </row>
    <row r="182" spans="1:4" x14ac:dyDescent="0.25">
      <c r="A182" t="s">
        <v>112</v>
      </c>
      <c r="B182" t="s">
        <v>2269</v>
      </c>
      <c r="C182" t="s">
        <v>203</v>
      </c>
      <c r="D182" t="str">
        <f t="shared" si="2"/>
        <v>jpg</v>
      </c>
    </row>
    <row r="183" spans="1:4" x14ac:dyDescent="0.25">
      <c r="A183" t="s">
        <v>112</v>
      </c>
      <c r="B183" t="s">
        <v>2269</v>
      </c>
      <c r="C183" t="s">
        <v>204</v>
      </c>
      <c r="D183" t="str">
        <f t="shared" si="2"/>
        <v>jpg</v>
      </c>
    </row>
    <row r="184" spans="1:4" x14ac:dyDescent="0.25">
      <c r="A184" t="s">
        <v>112</v>
      </c>
      <c r="B184" t="s">
        <v>2269</v>
      </c>
      <c r="C184" t="s">
        <v>205</v>
      </c>
      <c r="D184" t="str">
        <f t="shared" si="2"/>
        <v>jpg</v>
      </c>
    </row>
    <row r="185" spans="1:4" x14ac:dyDescent="0.25">
      <c r="A185" t="s">
        <v>112</v>
      </c>
      <c r="B185" t="s">
        <v>2269</v>
      </c>
      <c r="C185" t="s">
        <v>206</v>
      </c>
      <c r="D185" t="str">
        <f t="shared" si="2"/>
        <v>jpg</v>
      </c>
    </row>
    <row r="186" spans="1:4" x14ac:dyDescent="0.25">
      <c r="A186" t="s">
        <v>112</v>
      </c>
      <c r="B186" t="s">
        <v>2269</v>
      </c>
      <c r="C186" t="s">
        <v>207</v>
      </c>
      <c r="D186" t="str">
        <f t="shared" si="2"/>
        <v>jpg</v>
      </c>
    </row>
    <row r="187" spans="1:4" x14ac:dyDescent="0.25">
      <c r="A187" t="s">
        <v>112</v>
      </c>
      <c r="B187" t="s">
        <v>2269</v>
      </c>
      <c r="C187" t="s">
        <v>208</v>
      </c>
      <c r="D187" t="str">
        <f t="shared" si="2"/>
        <v>jpg</v>
      </c>
    </row>
    <row r="188" spans="1:4" x14ac:dyDescent="0.25">
      <c r="A188" t="s">
        <v>112</v>
      </c>
      <c r="B188" t="s">
        <v>2269</v>
      </c>
      <c r="C188" t="s">
        <v>209</v>
      </c>
      <c r="D188" t="str">
        <f t="shared" si="2"/>
        <v>jpg</v>
      </c>
    </row>
    <row r="189" spans="1:4" x14ac:dyDescent="0.25">
      <c r="A189" t="s">
        <v>112</v>
      </c>
      <c r="B189" t="s">
        <v>2269</v>
      </c>
      <c r="C189" t="s">
        <v>210</v>
      </c>
      <c r="D189" t="str">
        <f t="shared" si="2"/>
        <v>jpg</v>
      </c>
    </row>
    <row r="190" spans="1:4" x14ac:dyDescent="0.25">
      <c r="A190" t="s">
        <v>112</v>
      </c>
      <c r="B190" t="s">
        <v>2269</v>
      </c>
      <c r="C190" t="s">
        <v>211</v>
      </c>
      <c r="D190" t="str">
        <f t="shared" si="2"/>
        <v>jpg</v>
      </c>
    </row>
    <row r="191" spans="1:4" x14ac:dyDescent="0.25">
      <c r="A191" t="s">
        <v>112</v>
      </c>
      <c r="B191" t="s">
        <v>2269</v>
      </c>
      <c r="C191" t="s">
        <v>212</v>
      </c>
      <c r="D191" t="str">
        <f t="shared" si="2"/>
        <v>jpg</v>
      </c>
    </row>
    <row r="192" spans="1:4" x14ac:dyDescent="0.25">
      <c r="A192" t="s">
        <v>112</v>
      </c>
      <c r="B192" t="s">
        <v>2269</v>
      </c>
      <c r="C192" t="s">
        <v>213</v>
      </c>
      <c r="D192" t="str">
        <f t="shared" si="2"/>
        <v>jpg</v>
      </c>
    </row>
    <row r="193" spans="1:4" x14ac:dyDescent="0.25">
      <c r="A193" t="s">
        <v>112</v>
      </c>
      <c r="B193" t="s">
        <v>2269</v>
      </c>
      <c r="C193" t="s">
        <v>214</v>
      </c>
      <c r="D193" t="str">
        <f t="shared" si="2"/>
        <v>jpg</v>
      </c>
    </row>
    <row r="194" spans="1:4" x14ac:dyDescent="0.25">
      <c r="A194" t="s">
        <v>112</v>
      </c>
      <c r="B194" t="s">
        <v>2269</v>
      </c>
      <c r="C194" t="s">
        <v>215</v>
      </c>
      <c r="D194" t="str">
        <f t="shared" si="2"/>
        <v>jpg</v>
      </c>
    </row>
    <row r="195" spans="1:4" x14ac:dyDescent="0.25">
      <c r="A195" t="s">
        <v>112</v>
      </c>
      <c r="B195" t="s">
        <v>2269</v>
      </c>
      <c r="C195" t="s">
        <v>216</v>
      </c>
      <c r="D195" t="str">
        <f t="shared" ref="D195:D258" si="3">IF(ISNUMBER(SEARCH(".pdf",C195)),"pdf",IF(ISNUMBER(SEARCH(".tif",C195)),"tif",IF(ISNUMBER(SEARCH(".las",C195)),"las",IF(ISNUMBER(SEARCH(".sdg",C195)),"sdg",IF(ISNUMBER(SEARCH(".xlsx",C195)),"xlsx",IF(ISNUMBER(SEARCH(".docx",C195)),"docx",IF(ISNUMBER(SEARCH(".rhistory",C195)),"rhistory",IF(ISNUMBER(SEARCH(".db",C195)),"db",IF(ISNUMBER(SEARCH(".jpg",C195)),"jpg",IF(ISNUMBER(SEARCH(".png",C195)),"png",IF(ISNUMBER(SEARCH(".mdb",C195)),"mdb",IF(ISNUMBER(SEARCH(".xml",C195)),"xml",IF(ISNUMBER(SEARCH(".xls",C195)),"xls",IF(ISNUMBER(SEARCH(".txt",C195)),"txt",IF(ISNUMBER(SEARCH(".tsf",C195)),"tsf",IF(ISNUMBER(SEARCH(".sch",C195)),"sch","ZIP oder R"))))))))))))))))</f>
        <v>jpg</v>
      </c>
    </row>
    <row r="196" spans="1:4" x14ac:dyDescent="0.25">
      <c r="A196" t="s">
        <v>112</v>
      </c>
      <c r="B196" t="s">
        <v>2269</v>
      </c>
      <c r="C196" t="s">
        <v>217</v>
      </c>
      <c r="D196" t="str">
        <f t="shared" si="3"/>
        <v>jpg</v>
      </c>
    </row>
    <row r="197" spans="1:4" x14ac:dyDescent="0.25">
      <c r="A197" t="s">
        <v>112</v>
      </c>
      <c r="B197" t="s">
        <v>2269</v>
      </c>
      <c r="C197" t="s">
        <v>218</v>
      </c>
      <c r="D197" t="str">
        <f t="shared" si="3"/>
        <v>jpg</v>
      </c>
    </row>
    <row r="198" spans="1:4" x14ac:dyDescent="0.25">
      <c r="A198" t="s">
        <v>112</v>
      </c>
      <c r="B198" t="s">
        <v>2269</v>
      </c>
      <c r="C198" t="s">
        <v>219</v>
      </c>
      <c r="D198" t="str">
        <f t="shared" si="3"/>
        <v>jpg</v>
      </c>
    </row>
    <row r="199" spans="1:4" x14ac:dyDescent="0.25">
      <c r="A199" t="s">
        <v>112</v>
      </c>
      <c r="B199" t="s">
        <v>2269</v>
      </c>
      <c r="C199" t="s">
        <v>220</v>
      </c>
      <c r="D199" t="str">
        <f t="shared" si="3"/>
        <v>jpg</v>
      </c>
    </row>
    <row r="200" spans="1:4" x14ac:dyDescent="0.25">
      <c r="A200" t="s">
        <v>112</v>
      </c>
      <c r="B200" t="s">
        <v>2269</v>
      </c>
      <c r="C200" t="s">
        <v>221</v>
      </c>
      <c r="D200" t="str">
        <f t="shared" si="3"/>
        <v>jpg</v>
      </c>
    </row>
    <row r="201" spans="1:4" x14ac:dyDescent="0.25">
      <c r="A201" t="s">
        <v>112</v>
      </c>
      <c r="B201" t="s">
        <v>2269</v>
      </c>
      <c r="C201" t="s">
        <v>222</v>
      </c>
      <c r="D201" t="str">
        <f t="shared" si="3"/>
        <v>jpg</v>
      </c>
    </row>
    <row r="202" spans="1:4" x14ac:dyDescent="0.25">
      <c r="A202" t="s">
        <v>112</v>
      </c>
      <c r="B202" t="s">
        <v>2269</v>
      </c>
      <c r="C202" t="s">
        <v>223</v>
      </c>
      <c r="D202" t="str">
        <f t="shared" si="3"/>
        <v>jpg</v>
      </c>
    </row>
    <row r="203" spans="1:4" x14ac:dyDescent="0.25">
      <c r="A203" t="s">
        <v>112</v>
      </c>
      <c r="B203" t="s">
        <v>2269</v>
      </c>
      <c r="C203" t="s">
        <v>224</v>
      </c>
      <c r="D203" t="str">
        <f t="shared" si="3"/>
        <v>jpg</v>
      </c>
    </row>
    <row r="204" spans="1:4" x14ac:dyDescent="0.25">
      <c r="A204" t="s">
        <v>112</v>
      </c>
      <c r="B204" t="s">
        <v>2269</v>
      </c>
      <c r="C204" t="s">
        <v>225</v>
      </c>
      <c r="D204" t="str">
        <f t="shared" si="3"/>
        <v>jpg</v>
      </c>
    </row>
    <row r="205" spans="1:4" x14ac:dyDescent="0.25">
      <c r="A205" t="s">
        <v>112</v>
      </c>
      <c r="B205" t="s">
        <v>2269</v>
      </c>
      <c r="C205" t="s">
        <v>226</v>
      </c>
      <c r="D205" t="str">
        <f t="shared" si="3"/>
        <v>jpg</v>
      </c>
    </row>
    <row r="206" spans="1:4" x14ac:dyDescent="0.25">
      <c r="A206" t="s">
        <v>112</v>
      </c>
      <c r="B206" t="s">
        <v>2269</v>
      </c>
      <c r="C206" t="s">
        <v>227</v>
      </c>
      <c r="D206" t="str">
        <f t="shared" si="3"/>
        <v>jpg</v>
      </c>
    </row>
    <row r="207" spans="1:4" x14ac:dyDescent="0.25">
      <c r="A207" t="s">
        <v>112</v>
      </c>
      <c r="B207" t="s">
        <v>2269</v>
      </c>
      <c r="C207" t="s">
        <v>228</v>
      </c>
      <c r="D207" t="str">
        <f t="shared" si="3"/>
        <v>jpg</v>
      </c>
    </row>
    <row r="208" spans="1:4" x14ac:dyDescent="0.25">
      <c r="A208" t="s">
        <v>112</v>
      </c>
      <c r="B208" t="s">
        <v>2269</v>
      </c>
      <c r="C208" t="s">
        <v>229</v>
      </c>
      <c r="D208" t="str">
        <f t="shared" si="3"/>
        <v>jpg</v>
      </c>
    </row>
    <row r="209" spans="1:4" x14ac:dyDescent="0.25">
      <c r="A209" t="s">
        <v>112</v>
      </c>
      <c r="B209" t="s">
        <v>2269</v>
      </c>
      <c r="C209" t="s">
        <v>230</v>
      </c>
      <c r="D209" t="str">
        <f t="shared" si="3"/>
        <v>jpg</v>
      </c>
    </row>
    <row r="210" spans="1:4" x14ac:dyDescent="0.25">
      <c r="A210" t="s">
        <v>112</v>
      </c>
      <c r="B210" t="s">
        <v>2269</v>
      </c>
      <c r="C210" t="s">
        <v>231</v>
      </c>
      <c r="D210" t="str">
        <f t="shared" si="3"/>
        <v>jpg</v>
      </c>
    </row>
    <row r="211" spans="1:4" x14ac:dyDescent="0.25">
      <c r="A211" t="s">
        <v>112</v>
      </c>
      <c r="B211" t="s">
        <v>2269</v>
      </c>
      <c r="C211" t="s">
        <v>232</v>
      </c>
      <c r="D211" t="str">
        <f t="shared" si="3"/>
        <v>jpg</v>
      </c>
    </row>
    <row r="212" spans="1:4" x14ac:dyDescent="0.25">
      <c r="A212" t="s">
        <v>112</v>
      </c>
      <c r="B212" t="s">
        <v>2269</v>
      </c>
      <c r="C212" t="s">
        <v>233</v>
      </c>
      <c r="D212" t="str">
        <f t="shared" si="3"/>
        <v>jpg</v>
      </c>
    </row>
    <row r="213" spans="1:4" x14ac:dyDescent="0.25">
      <c r="A213" t="s">
        <v>112</v>
      </c>
      <c r="B213" t="s">
        <v>2269</v>
      </c>
      <c r="C213" t="s">
        <v>234</v>
      </c>
      <c r="D213" t="str">
        <f t="shared" si="3"/>
        <v>jpg</v>
      </c>
    </row>
    <row r="214" spans="1:4" x14ac:dyDescent="0.25">
      <c r="A214" t="s">
        <v>112</v>
      </c>
      <c r="B214" t="s">
        <v>2269</v>
      </c>
      <c r="C214" t="s">
        <v>235</v>
      </c>
      <c r="D214" t="str">
        <f t="shared" si="3"/>
        <v>jpg</v>
      </c>
    </row>
    <row r="215" spans="1:4" x14ac:dyDescent="0.25">
      <c r="A215" t="s">
        <v>112</v>
      </c>
      <c r="B215" t="s">
        <v>2269</v>
      </c>
      <c r="C215" t="s">
        <v>236</v>
      </c>
      <c r="D215" t="str">
        <f t="shared" si="3"/>
        <v>jpg</v>
      </c>
    </row>
    <row r="216" spans="1:4" x14ac:dyDescent="0.25">
      <c r="A216" t="s">
        <v>112</v>
      </c>
      <c r="B216" t="s">
        <v>2269</v>
      </c>
      <c r="C216" t="s">
        <v>237</v>
      </c>
      <c r="D216" t="str">
        <f t="shared" si="3"/>
        <v>jpg</v>
      </c>
    </row>
    <row r="217" spans="1:4" x14ac:dyDescent="0.25">
      <c r="A217" t="s">
        <v>112</v>
      </c>
      <c r="B217" t="s">
        <v>2269</v>
      </c>
      <c r="C217" t="s">
        <v>238</v>
      </c>
      <c r="D217" t="str">
        <f t="shared" si="3"/>
        <v>jpg</v>
      </c>
    </row>
    <row r="218" spans="1:4" x14ac:dyDescent="0.25">
      <c r="A218" t="s">
        <v>112</v>
      </c>
      <c r="B218" t="s">
        <v>2269</v>
      </c>
      <c r="C218" t="s">
        <v>239</v>
      </c>
      <c r="D218" t="str">
        <f t="shared" si="3"/>
        <v>jpg</v>
      </c>
    </row>
    <row r="219" spans="1:4" x14ac:dyDescent="0.25">
      <c r="A219" t="s">
        <v>112</v>
      </c>
      <c r="B219" t="s">
        <v>2269</v>
      </c>
      <c r="C219" t="s">
        <v>240</v>
      </c>
      <c r="D219" t="str">
        <f t="shared" si="3"/>
        <v>jpg</v>
      </c>
    </row>
    <row r="220" spans="1:4" x14ac:dyDescent="0.25">
      <c r="A220" t="s">
        <v>112</v>
      </c>
      <c r="B220" t="s">
        <v>2269</v>
      </c>
      <c r="C220" t="s">
        <v>241</v>
      </c>
      <c r="D220" t="str">
        <f t="shared" si="3"/>
        <v>jpg</v>
      </c>
    </row>
    <row r="221" spans="1:4" x14ac:dyDescent="0.25">
      <c r="A221" t="s">
        <v>112</v>
      </c>
      <c r="B221" t="s">
        <v>2269</v>
      </c>
      <c r="C221" t="s">
        <v>242</v>
      </c>
      <c r="D221" t="str">
        <f t="shared" si="3"/>
        <v>jpg</v>
      </c>
    </row>
    <row r="222" spans="1:4" x14ac:dyDescent="0.25">
      <c r="A222" t="s">
        <v>112</v>
      </c>
      <c r="B222" t="s">
        <v>2269</v>
      </c>
      <c r="C222" t="s">
        <v>243</v>
      </c>
      <c r="D222" t="str">
        <f t="shared" si="3"/>
        <v>jpg</v>
      </c>
    </row>
    <row r="223" spans="1:4" x14ac:dyDescent="0.25">
      <c r="A223" t="s">
        <v>112</v>
      </c>
      <c r="B223" t="s">
        <v>2269</v>
      </c>
      <c r="C223" t="s">
        <v>244</v>
      </c>
      <c r="D223" t="str">
        <f t="shared" si="3"/>
        <v>jpg</v>
      </c>
    </row>
    <row r="224" spans="1:4" x14ac:dyDescent="0.25">
      <c r="A224" t="s">
        <v>112</v>
      </c>
      <c r="B224" t="s">
        <v>2269</v>
      </c>
      <c r="C224" t="s">
        <v>245</v>
      </c>
      <c r="D224" t="str">
        <f t="shared" si="3"/>
        <v>jpg</v>
      </c>
    </row>
    <row r="225" spans="1:4" x14ac:dyDescent="0.25">
      <c r="A225" t="s">
        <v>112</v>
      </c>
      <c r="B225" t="s">
        <v>2269</v>
      </c>
      <c r="C225" t="s">
        <v>246</v>
      </c>
      <c r="D225" t="str">
        <f t="shared" si="3"/>
        <v>jpg</v>
      </c>
    </row>
    <row r="226" spans="1:4" x14ac:dyDescent="0.25">
      <c r="A226" t="s">
        <v>112</v>
      </c>
      <c r="B226" t="s">
        <v>2269</v>
      </c>
      <c r="C226" t="s">
        <v>247</v>
      </c>
      <c r="D226" t="str">
        <f t="shared" si="3"/>
        <v>jpg</v>
      </c>
    </row>
    <row r="227" spans="1:4" x14ac:dyDescent="0.25">
      <c r="A227" t="s">
        <v>112</v>
      </c>
      <c r="B227" t="s">
        <v>2269</v>
      </c>
      <c r="C227" t="s">
        <v>248</v>
      </c>
      <c r="D227" t="str">
        <f t="shared" si="3"/>
        <v>jpg</v>
      </c>
    </row>
    <row r="228" spans="1:4" x14ac:dyDescent="0.25">
      <c r="A228" t="s">
        <v>112</v>
      </c>
      <c r="B228" t="s">
        <v>2269</v>
      </c>
      <c r="C228" t="s">
        <v>249</v>
      </c>
      <c r="D228" t="str">
        <f t="shared" si="3"/>
        <v>jpg</v>
      </c>
    </row>
    <row r="229" spans="1:4" x14ac:dyDescent="0.25">
      <c r="A229" t="s">
        <v>112</v>
      </c>
      <c r="B229" t="s">
        <v>2269</v>
      </c>
      <c r="C229" t="s">
        <v>250</v>
      </c>
      <c r="D229" t="str">
        <f t="shared" si="3"/>
        <v>jpg</v>
      </c>
    </row>
    <row r="230" spans="1:4" x14ac:dyDescent="0.25">
      <c r="A230" t="s">
        <v>112</v>
      </c>
      <c r="B230" t="s">
        <v>2269</v>
      </c>
      <c r="C230" t="s">
        <v>251</v>
      </c>
      <c r="D230" t="str">
        <f t="shared" si="3"/>
        <v>jpg</v>
      </c>
    </row>
    <row r="231" spans="1:4" x14ac:dyDescent="0.25">
      <c r="A231" t="s">
        <v>112</v>
      </c>
      <c r="B231" t="s">
        <v>2269</v>
      </c>
      <c r="C231" t="s">
        <v>252</v>
      </c>
      <c r="D231" t="str">
        <f t="shared" si="3"/>
        <v>jpg</v>
      </c>
    </row>
    <row r="232" spans="1:4" x14ac:dyDescent="0.25">
      <c r="A232" t="s">
        <v>112</v>
      </c>
      <c r="B232" t="s">
        <v>2269</v>
      </c>
      <c r="C232" t="s">
        <v>253</v>
      </c>
      <c r="D232" t="str">
        <f t="shared" si="3"/>
        <v>jpg</v>
      </c>
    </row>
    <row r="233" spans="1:4" x14ac:dyDescent="0.25">
      <c r="A233" t="s">
        <v>112</v>
      </c>
      <c r="B233" t="s">
        <v>2269</v>
      </c>
      <c r="C233" t="s">
        <v>254</v>
      </c>
      <c r="D233" t="str">
        <f t="shared" si="3"/>
        <v>jpg</v>
      </c>
    </row>
    <row r="234" spans="1:4" x14ac:dyDescent="0.25">
      <c r="A234" t="s">
        <v>112</v>
      </c>
      <c r="B234" t="s">
        <v>2269</v>
      </c>
      <c r="C234" t="s">
        <v>255</v>
      </c>
      <c r="D234" t="str">
        <f t="shared" si="3"/>
        <v>jpg</v>
      </c>
    </row>
    <row r="235" spans="1:4" x14ac:dyDescent="0.25">
      <c r="A235" t="s">
        <v>112</v>
      </c>
      <c r="B235" t="s">
        <v>2269</v>
      </c>
      <c r="C235" t="s">
        <v>256</v>
      </c>
      <c r="D235" t="str">
        <f t="shared" si="3"/>
        <v>jpg</v>
      </c>
    </row>
    <row r="236" spans="1:4" x14ac:dyDescent="0.25">
      <c r="A236" t="s">
        <v>112</v>
      </c>
      <c r="B236" t="s">
        <v>2269</v>
      </c>
      <c r="C236" t="s">
        <v>257</v>
      </c>
      <c r="D236" t="str">
        <f t="shared" si="3"/>
        <v>jpg</v>
      </c>
    </row>
    <row r="237" spans="1:4" x14ac:dyDescent="0.25">
      <c r="A237" t="s">
        <v>112</v>
      </c>
      <c r="B237" t="s">
        <v>2269</v>
      </c>
      <c r="C237" t="s">
        <v>258</v>
      </c>
      <c r="D237" t="str">
        <f t="shared" si="3"/>
        <v>jpg</v>
      </c>
    </row>
    <row r="238" spans="1:4" x14ac:dyDescent="0.25">
      <c r="A238" t="s">
        <v>112</v>
      </c>
      <c r="B238" t="s">
        <v>2269</v>
      </c>
      <c r="C238" t="s">
        <v>259</v>
      </c>
      <c r="D238" t="str">
        <f t="shared" si="3"/>
        <v>jpg</v>
      </c>
    </row>
    <row r="239" spans="1:4" x14ac:dyDescent="0.25">
      <c r="A239" t="s">
        <v>112</v>
      </c>
      <c r="B239" t="s">
        <v>2269</v>
      </c>
      <c r="C239" t="s">
        <v>260</v>
      </c>
      <c r="D239" t="str">
        <f t="shared" si="3"/>
        <v>jpg</v>
      </c>
    </row>
    <row r="240" spans="1:4" x14ac:dyDescent="0.25">
      <c r="A240" t="s">
        <v>112</v>
      </c>
      <c r="B240" t="s">
        <v>2269</v>
      </c>
      <c r="C240" t="s">
        <v>261</v>
      </c>
      <c r="D240" t="str">
        <f t="shared" si="3"/>
        <v>jpg</v>
      </c>
    </row>
    <row r="241" spans="1:4" x14ac:dyDescent="0.25">
      <c r="A241" t="s">
        <v>112</v>
      </c>
      <c r="B241" t="s">
        <v>2269</v>
      </c>
      <c r="C241" t="s">
        <v>262</v>
      </c>
      <c r="D241" t="str">
        <f t="shared" si="3"/>
        <v>jpg</v>
      </c>
    </row>
    <row r="242" spans="1:4" x14ac:dyDescent="0.25">
      <c r="A242" t="s">
        <v>112</v>
      </c>
      <c r="B242" t="s">
        <v>2269</v>
      </c>
      <c r="C242" t="s">
        <v>263</v>
      </c>
      <c r="D242" t="str">
        <f t="shared" si="3"/>
        <v>jpg</v>
      </c>
    </row>
    <row r="243" spans="1:4" x14ac:dyDescent="0.25">
      <c r="A243" t="s">
        <v>112</v>
      </c>
      <c r="B243" t="s">
        <v>2269</v>
      </c>
      <c r="C243" t="s">
        <v>264</v>
      </c>
      <c r="D243" t="str">
        <f t="shared" si="3"/>
        <v>jpg</v>
      </c>
    </row>
    <row r="244" spans="1:4" x14ac:dyDescent="0.25">
      <c r="A244" t="s">
        <v>112</v>
      </c>
      <c r="B244" t="s">
        <v>2269</v>
      </c>
      <c r="C244" t="s">
        <v>265</v>
      </c>
      <c r="D244" t="str">
        <f t="shared" si="3"/>
        <v>jpg</v>
      </c>
    </row>
    <row r="245" spans="1:4" x14ac:dyDescent="0.25">
      <c r="A245" t="s">
        <v>112</v>
      </c>
      <c r="B245" t="s">
        <v>2269</v>
      </c>
      <c r="C245" t="s">
        <v>266</v>
      </c>
      <c r="D245" t="str">
        <f t="shared" si="3"/>
        <v>jpg</v>
      </c>
    </row>
    <row r="246" spans="1:4" x14ac:dyDescent="0.25">
      <c r="A246" t="s">
        <v>112</v>
      </c>
      <c r="B246" t="s">
        <v>2269</v>
      </c>
      <c r="C246" t="s">
        <v>267</v>
      </c>
      <c r="D246" t="str">
        <f t="shared" si="3"/>
        <v>jpg</v>
      </c>
    </row>
    <row r="247" spans="1:4" x14ac:dyDescent="0.25">
      <c r="A247" t="s">
        <v>112</v>
      </c>
      <c r="B247" t="s">
        <v>2269</v>
      </c>
      <c r="C247" t="s">
        <v>268</v>
      </c>
      <c r="D247" t="str">
        <f t="shared" si="3"/>
        <v>jpg</v>
      </c>
    </row>
    <row r="248" spans="1:4" x14ac:dyDescent="0.25">
      <c r="A248" t="s">
        <v>112</v>
      </c>
      <c r="B248" t="s">
        <v>2269</v>
      </c>
      <c r="C248" t="s">
        <v>269</v>
      </c>
      <c r="D248" t="str">
        <f t="shared" si="3"/>
        <v>jpg</v>
      </c>
    </row>
    <row r="249" spans="1:4" x14ac:dyDescent="0.25">
      <c r="A249" t="s">
        <v>112</v>
      </c>
      <c r="B249" t="s">
        <v>2269</v>
      </c>
      <c r="C249" t="s">
        <v>270</v>
      </c>
      <c r="D249" t="str">
        <f t="shared" si="3"/>
        <v>jpg</v>
      </c>
    </row>
    <row r="250" spans="1:4" x14ac:dyDescent="0.25">
      <c r="A250" t="s">
        <v>112</v>
      </c>
      <c r="B250" t="s">
        <v>2269</v>
      </c>
      <c r="C250" t="s">
        <v>271</v>
      </c>
      <c r="D250" t="str">
        <f t="shared" si="3"/>
        <v>jpg</v>
      </c>
    </row>
    <row r="251" spans="1:4" x14ac:dyDescent="0.25">
      <c r="A251" t="s">
        <v>112</v>
      </c>
      <c r="B251" t="s">
        <v>2269</v>
      </c>
      <c r="C251" t="s">
        <v>272</v>
      </c>
      <c r="D251" t="str">
        <f t="shared" si="3"/>
        <v>jpg</v>
      </c>
    </row>
    <row r="252" spans="1:4" x14ac:dyDescent="0.25">
      <c r="A252" t="s">
        <v>112</v>
      </c>
      <c r="B252" t="s">
        <v>2269</v>
      </c>
      <c r="C252" t="s">
        <v>273</v>
      </c>
      <c r="D252" t="str">
        <f t="shared" si="3"/>
        <v>jpg</v>
      </c>
    </row>
    <row r="253" spans="1:4" x14ac:dyDescent="0.25">
      <c r="A253" t="s">
        <v>112</v>
      </c>
      <c r="B253" t="s">
        <v>2269</v>
      </c>
      <c r="C253" t="s">
        <v>274</v>
      </c>
      <c r="D253" t="str">
        <f t="shared" si="3"/>
        <v>jpg</v>
      </c>
    </row>
    <row r="254" spans="1:4" x14ac:dyDescent="0.25">
      <c r="A254" t="s">
        <v>112</v>
      </c>
      <c r="B254" t="s">
        <v>2269</v>
      </c>
      <c r="C254" t="s">
        <v>275</v>
      </c>
      <c r="D254" t="str">
        <f t="shared" si="3"/>
        <v>jpg</v>
      </c>
    </row>
    <row r="255" spans="1:4" x14ac:dyDescent="0.25">
      <c r="A255" t="s">
        <v>112</v>
      </c>
      <c r="B255" t="s">
        <v>2269</v>
      </c>
      <c r="C255" t="s">
        <v>276</v>
      </c>
      <c r="D255" t="str">
        <f t="shared" si="3"/>
        <v>jpg</v>
      </c>
    </row>
    <row r="256" spans="1:4" x14ac:dyDescent="0.25">
      <c r="A256" t="s">
        <v>112</v>
      </c>
      <c r="B256" t="s">
        <v>2269</v>
      </c>
      <c r="C256" t="s">
        <v>277</v>
      </c>
      <c r="D256" t="str">
        <f t="shared" si="3"/>
        <v>jpg</v>
      </c>
    </row>
    <row r="257" spans="1:4" x14ac:dyDescent="0.25">
      <c r="A257" t="s">
        <v>112</v>
      </c>
      <c r="B257" t="s">
        <v>2269</v>
      </c>
      <c r="C257" t="s">
        <v>278</v>
      </c>
      <c r="D257" t="str">
        <f t="shared" si="3"/>
        <v>jpg</v>
      </c>
    </row>
    <row r="258" spans="1:4" x14ac:dyDescent="0.25">
      <c r="A258" t="s">
        <v>112</v>
      </c>
      <c r="B258" t="s">
        <v>2269</v>
      </c>
      <c r="C258" t="s">
        <v>279</v>
      </c>
      <c r="D258" t="str">
        <f t="shared" si="3"/>
        <v>jpg</v>
      </c>
    </row>
    <row r="259" spans="1:4" x14ac:dyDescent="0.25">
      <c r="A259" t="s">
        <v>112</v>
      </c>
      <c r="B259" t="s">
        <v>2269</v>
      </c>
      <c r="C259" t="s">
        <v>280</v>
      </c>
      <c r="D259" t="str">
        <f t="shared" ref="D259:D322" si="4">IF(ISNUMBER(SEARCH(".pdf",C259)),"pdf",IF(ISNUMBER(SEARCH(".tif",C259)),"tif",IF(ISNUMBER(SEARCH(".las",C259)),"las",IF(ISNUMBER(SEARCH(".sdg",C259)),"sdg",IF(ISNUMBER(SEARCH(".xlsx",C259)),"xlsx",IF(ISNUMBER(SEARCH(".docx",C259)),"docx",IF(ISNUMBER(SEARCH(".rhistory",C259)),"rhistory",IF(ISNUMBER(SEARCH(".db",C259)),"db",IF(ISNUMBER(SEARCH(".jpg",C259)),"jpg",IF(ISNUMBER(SEARCH(".png",C259)),"png",IF(ISNUMBER(SEARCH(".mdb",C259)),"mdb",IF(ISNUMBER(SEARCH(".xml",C259)),"xml",IF(ISNUMBER(SEARCH(".xls",C259)),"xls",IF(ISNUMBER(SEARCH(".txt",C259)),"txt",IF(ISNUMBER(SEARCH(".tsf",C259)),"tsf",IF(ISNUMBER(SEARCH(".sch",C259)),"sch","ZIP oder R"))))))))))))))))</f>
        <v>jpg</v>
      </c>
    </row>
    <row r="260" spans="1:4" x14ac:dyDescent="0.25">
      <c r="A260" t="s">
        <v>112</v>
      </c>
      <c r="B260" t="s">
        <v>2269</v>
      </c>
      <c r="C260" t="s">
        <v>281</v>
      </c>
      <c r="D260" t="str">
        <f t="shared" si="4"/>
        <v>jpg</v>
      </c>
    </row>
    <row r="261" spans="1:4" x14ac:dyDescent="0.25">
      <c r="A261" t="s">
        <v>112</v>
      </c>
      <c r="B261" t="s">
        <v>2269</v>
      </c>
      <c r="C261" t="s">
        <v>282</v>
      </c>
      <c r="D261" t="str">
        <f t="shared" si="4"/>
        <v>jpg</v>
      </c>
    </row>
    <row r="262" spans="1:4" x14ac:dyDescent="0.25">
      <c r="A262" t="s">
        <v>112</v>
      </c>
      <c r="B262" t="s">
        <v>2269</v>
      </c>
      <c r="C262" t="s">
        <v>283</v>
      </c>
      <c r="D262" t="str">
        <f t="shared" si="4"/>
        <v>jpg</v>
      </c>
    </row>
    <row r="263" spans="1:4" x14ac:dyDescent="0.25">
      <c r="A263" t="s">
        <v>112</v>
      </c>
      <c r="B263" t="s">
        <v>2269</v>
      </c>
      <c r="C263" t="s">
        <v>284</v>
      </c>
      <c r="D263" t="str">
        <f t="shared" si="4"/>
        <v>jpg</v>
      </c>
    </row>
    <row r="264" spans="1:4" x14ac:dyDescent="0.25">
      <c r="A264" t="s">
        <v>112</v>
      </c>
      <c r="B264" t="s">
        <v>2269</v>
      </c>
      <c r="C264" t="s">
        <v>285</v>
      </c>
      <c r="D264" t="str">
        <f t="shared" si="4"/>
        <v>jpg</v>
      </c>
    </row>
    <row r="265" spans="1:4" x14ac:dyDescent="0.25">
      <c r="A265" t="s">
        <v>112</v>
      </c>
      <c r="B265" t="s">
        <v>2269</v>
      </c>
      <c r="C265" t="s">
        <v>286</v>
      </c>
      <c r="D265" t="str">
        <f t="shared" si="4"/>
        <v>jpg</v>
      </c>
    </row>
    <row r="266" spans="1:4" x14ac:dyDescent="0.25">
      <c r="A266" t="s">
        <v>112</v>
      </c>
      <c r="B266" t="s">
        <v>2269</v>
      </c>
      <c r="C266" t="s">
        <v>287</v>
      </c>
      <c r="D266" t="str">
        <f t="shared" si="4"/>
        <v>jpg</v>
      </c>
    </row>
    <row r="267" spans="1:4" x14ac:dyDescent="0.25">
      <c r="A267" t="s">
        <v>112</v>
      </c>
      <c r="B267" t="s">
        <v>2269</v>
      </c>
      <c r="C267" t="s">
        <v>288</v>
      </c>
      <c r="D267" t="str">
        <f t="shared" si="4"/>
        <v>jpg</v>
      </c>
    </row>
    <row r="268" spans="1:4" x14ac:dyDescent="0.25">
      <c r="A268" t="s">
        <v>112</v>
      </c>
      <c r="B268" t="s">
        <v>2269</v>
      </c>
      <c r="C268" t="s">
        <v>289</v>
      </c>
      <c r="D268" t="str">
        <f t="shared" si="4"/>
        <v>jpg</v>
      </c>
    </row>
    <row r="269" spans="1:4" x14ac:dyDescent="0.25">
      <c r="A269" t="s">
        <v>112</v>
      </c>
      <c r="B269" t="s">
        <v>2269</v>
      </c>
      <c r="C269" t="s">
        <v>290</v>
      </c>
      <c r="D269" t="str">
        <f t="shared" si="4"/>
        <v>jpg</v>
      </c>
    </row>
    <row r="270" spans="1:4" x14ac:dyDescent="0.25">
      <c r="A270" t="s">
        <v>112</v>
      </c>
      <c r="B270" t="s">
        <v>2269</v>
      </c>
      <c r="C270" t="s">
        <v>291</v>
      </c>
      <c r="D270" t="str">
        <f t="shared" si="4"/>
        <v>jpg</v>
      </c>
    </row>
    <row r="271" spans="1:4" x14ac:dyDescent="0.25">
      <c r="A271" t="s">
        <v>112</v>
      </c>
      <c r="B271" t="s">
        <v>2269</v>
      </c>
      <c r="C271" t="s">
        <v>292</v>
      </c>
      <c r="D271" t="str">
        <f t="shared" si="4"/>
        <v>jpg</v>
      </c>
    </row>
    <row r="272" spans="1:4" x14ac:dyDescent="0.25">
      <c r="A272" t="s">
        <v>112</v>
      </c>
      <c r="B272" t="s">
        <v>2269</v>
      </c>
      <c r="C272" t="s">
        <v>293</v>
      </c>
      <c r="D272" t="str">
        <f t="shared" si="4"/>
        <v>jpg</v>
      </c>
    </row>
    <row r="273" spans="1:4" x14ac:dyDescent="0.25">
      <c r="A273" t="s">
        <v>112</v>
      </c>
      <c r="B273" t="s">
        <v>2269</v>
      </c>
      <c r="C273" t="s">
        <v>294</v>
      </c>
      <c r="D273" t="str">
        <f t="shared" si="4"/>
        <v>jpg</v>
      </c>
    </row>
    <row r="274" spans="1:4" x14ac:dyDescent="0.25">
      <c r="A274" t="s">
        <v>112</v>
      </c>
      <c r="B274" t="s">
        <v>2269</v>
      </c>
      <c r="C274" t="s">
        <v>295</v>
      </c>
      <c r="D274" t="str">
        <f t="shared" si="4"/>
        <v>jpg</v>
      </c>
    </row>
    <row r="275" spans="1:4" x14ac:dyDescent="0.25">
      <c r="A275" t="s">
        <v>112</v>
      </c>
      <c r="B275" t="s">
        <v>2269</v>
      </c>
      <c r="C275" t="s">
        <v>296</v>
      </c>
      <c r="D275" t="str">
        <f t="shared" si="4"/>
        <v>pdf</v>
      </c>
    </row>
    <row r="276" spans="1:4" x14ac:dyDescent="0.25">
      <c r="A276" t="s">
        <v>112</v>
      </c>
      <c r="B276" t="s">
        <v>2269</v>
      </c>
      <c r="C276" t="s">
        <v>297</v>
      </c>
      <c r="D276" t="str">
        <f t="shared" si="4"/>
        <v>pdf</v>
      </c>
    </row>
    <row r="277" spans="1:4" x14ac:dyDescent="0.25">
      <c r="A277" t="s">
        <v>112</v>
      </c>
      <c r="B277" t="s">
        <v>2269</v>
      </c>
      <c r="C277" t="s">
        <v>298</v>
      </c>
      <c r="D277" t="str">
        <f t="shared" si="4"/>
        <v>pdf</v>
      </c>
    </row>
    <row r="278" spans="1:4" x14ac:dyDescent="0.25">
      <c r="A278" t="s">
        <v>112</v>
      </c>
      <c r="B278" t="s">
        <v>2269</v>
      </c>
      <c r="C278" t="s">
        <v>299</v>
      </c>
      <c r="D278" t="str">
        <f t="shared" si="4"/>
        <v>pdf</v>
      </c>
    </row>
    <row r="279" spans="1:4" x14ac:dyDescent="0.25">
      <c r="A279" t="s">
        <v>112</v>
      </c>
      <c r="B279" t="s">
        <v>2269</v>
      </c>
      <c r="C279" t="s">
        <v>300</v>
      </c>
      <c r="D279" t="str">
        <f t="shared" si="4"/>
        <v>xlsx</v>
      </c>
    </row>
    <row r="280" spans="1:4" x14ac:dyDescent="0.25">
      <c r="A280" t="s">
        <v>301</v>
      </c>
      <c r="B280" t="s">
        <v>2269</v>
      </c>
      <c r="C280" t="s">
        <v>302</v>
      </c>
      <c r="D280" t="str">
        <f t="shared" si="4"/>
        <v>sdg</v>
      </c>
    </row>
    <row r="281" spans="1:4" x14ac:dyDescent="0.25">
      <c r="A281" t="s">
        <v>303</v>
      </c>
      <c r="B281" t="s">
        <v>2269</v>
      </c>
      <c r="C281" t="s">
        <v>304</v>
      </c>
      <c r="D281" t="str">
        <f t="shared" si="4"/>
        <v>png</v>
      </c>
    </row>
    <row r="282" spans="1:4" x14ac:dyDescent="0.25">
      <c r="A282" t="s">
        <v>303</v>
      </c>
      <c r="B282" t="s">
        <v>2269</v>
      </c>
      <c r="C282" t="s">
        <v>305</v>
      </c>
      <c r="D282" t="str">
        <f t="shared" si="4"/>
        <v>png</v>
      </c>
    </row>
    <row r="283" spans="1:4" x14ac:dyDescent="0.25">
      <c r="A283" t="s">
        <v>303</v>
      </c>
      <c r="B283" t="s">
        <v>2269</v>
      </c>
      <c r="C283" t="s">
        <v>306</v>
      </c>
      <c r="D283" t="str">
        <f t="shared" si="4"/>
        <v>png</v>
      </c>
    </row>
    <row r="284" spans="1:4" x14ac:dyDescent="0.25">
      <c r="A284" t="s">
        <v>303</v>
      </c>
      <c r="B284" t="s">
        <v>2269</v>
      </c>
      <c r="C284" t="s">
        <v>307</v>
      </c>
      <c r="D284" t="str">
        <f t="shared" si="4"/>
        <v>png</v>
      </c>
    </row>
    <row r="285" spans="1:4" x14ac:dyDescent="0.25">
      <c r="A285" t="s">
        <v>303</v>
      </c>
      <c r="B285" t="s">
        <v>2269</v>
      </c>
      <c r="C285" t="s">
        <v>308</v>
      </c>
      <c r="D285" t="str">
        <f t="shared" si="4"/>
        <v>png</v>
      </c>
    </row>
    <row r="286" spans="1:4" x14ac:dyDescent="0.25">
      <c r="A286" t="s">
        <v>303</v>
      </c>
      <c r="B286" t="s">
        <v>2269</v>
      </c>
      <c r="C286" t="s">
        <v>309</v>
      </c>
      <c r="D286" t="str">
        <f t="shared" si="4"/>
        <v>png</v>
      </c>
    </row>
    <row r="287" spans="1:4" x14ac:dyDescent="0.25">
      <c r="A287" t="s">
        <v>303</v>
      </c>
      <c r="B287" t="s">
        <v>2269</v>
      </c>
      <c r="C287" t="s">
        <v>310</v>
      </c>
      <c r="D287" t="str">
        <f t="shared" si="4"/>
        <v>png</v>
      </c>
    </row>
    <row r="288" spans="1:4" x14ac:dyDescent="0.25">
      <c r="A288" t="s">
        <v>303</v>
      </c>
      <c r="B288" t="s">
        <v>2269</v>
      </c>
      <c r="C288" t="s">
        <v>311</v>
      </c>
      <c r="D288" t="str">
        <f t="shared" si="4"/>
        <v>png</v>
      </c>
    </row>
    <row r="289" spans="1:4" x14ac:dyDescent="0.25">
      <c r="A289" t="s">
        <v>303</v>
      </c>
      <c r="B289" t="s">
        <v>2269</v>
      </c>
      <c r="C289" t="s">
        <v>312</v>
      </c>
      <c r="D289" t="str">
        <f t="shared" si="4"/>
        <v>png</v>
      </c>
    </row>
    <row r="290" spans="1:4" x14ac:dyDescent="0.25">
      <c r="A290" t="s">
        <v>303</v>
      </c>
      <c r="B290" t="s">
        <v>2269</v>
      </c>
      <c r="C290" t="s">
        <v>313</v>
      </c>
      <c r="D290" t="str">
        <f t="shared" si="4"/>
        <v>png</v>
      </c>
    </row>
    <row r="291" spans="1:4" x14ac:dyDescent="0.25">
      <c r="A291" t="s">
        <v>303</v>
      </c>
      <c r="B291" t="s">
        <v>2269</v>
      </c>
      <c r="C291" t="s">
        <v>314</v>
      </c>
      <c r="D291" t="str">
        <f t="shared" si="4"/>
        <v>png</v>
      </c>
    </row>
    <row r="292" spans="1:4" x14ac:dyDescent="0.25">
      <c r="A292" t="s">
        <v>303</v>
      </c>
      <c r="B292" t="s">
        <v>2269</v>
      </c>
      <c r="C292" t="s">
        <v>315</v>
      </c>
      <c r="D292" t="str">
        <f t="shared" si="4"/>
        <v>png</v>
      </c>
    </row>
    <row r="293" spans="1:4" x14ac:dyDescent="0.25">
      <c r="A293" t="s">
        <v>303</v>
      </c>
      <c r="B293" t="s">
        <v>2269</v>
      </c>
      <c r="C293" t="s">
        <v>316</v>
      </c>
      <c r="D293" t="str">
        <f t="shared" si="4"/>
        <v>png</v>
      </c>
    </row>
    <row r="294" spans="1:4" x14ac:dyDescent="0.25">
      <c r="A294" t="s">
        <v>303</v>
      </c>
      <c r="B294" t="s">
        <v>2269</v>
      </c>
      <c r="C294" t="s">
        <v>317</v>
      </c>
      <c r="D294" t="str">
        <f t="shared" si="4"/>
        <v>png</v>
      </c>
    </row>
    <row r="295" spans="1:4" x14ac:dyDescent="0.25">
      <c r="A295" t="s">
        <v>303</v>
      </c>
      <c r="B295" t="s">
        <v>2269</v>
      </c>
      <c r="C295" t="s">
        <v>318</v>
      </c>
      <c r="D295" t="str">
        <f t="shared" si="4"/>
        <v>png</v>
      </c>
    </row>
    <row r="296" spans="1:4" x14ac:dyDescent="0.25">
      <c r="A296" t="s">
        <v>303</v>
      </c>
      <c r="B296" t="s">
        <v>2269</v>
      </c>
      <c r="C296" t="s">
        <v>319</v>
      </c>
      <c r="D296" t="str">
        <f t="shared" si="4"/>
        <v>png</v>
      </c>
    </row>
    <row r="297" spans="1:4" x14ac:dyDescent="0.25">
      <c r="A297" t="s">
        <v>303</v>
      </c>
      <c r="B297" t="s">
        <v>2269</v>
      </c>
      <c r="C297" t="s">
        <v>320</v>
      </c>
      <c r="D297" t="str">
        <f t="shared" si="4"/>
        <v>png</v>
      </c>
    </row>
    <row r="298" spans="1:4" x14ac:dyDescent="0.25">
      <c r="A298" t="s">
        <v>303</v>
      </c>
      <c r="B298" t="s">
        <v>2269</v>
      </c>
      <c r="C298" t="s">
        <v>321</v>
      </c>
      <c r="D298" t="str">
        <f t="shared" si="4"/>
        <v>png</v>
      </c>
    </row>
    <row r="299" spans="1:4" x14ac:dyDescent="0.25">
      <c r="A299" t="s">
        <v>303</v>
      </c>
      <c r="B299" t="s">
        <v>2269</v>
      </c>
      <c r="C299" t="s">
        <v>322</v>
      </c>
      <c r="D299" t="str">
        <f t="shared" si="4"/>
        <v>png</v>
      </c>
    </row>
    <row r="300" spans="1:4" x14ac:dyDescent="0.25">
      <c r="A300" t="s">
        <v>303</v>
      </c>
      <c r="B300" t="s">
        <v>2269</v>
      </c>
      <c r="C300" t="s">
        <v>323</v>
      </c>
      <c r="D300" t="str">
        <f t="shared" si="4"/>
        <v>png</v>
      </c>
    </row>
    <row r="301" spans="1:4" x14ac:dyDescent="0.25">
      <c r="A301" t="s">
        <v>303</v>
      </c>
      <c r="B301" t="s">
        <v>2269</v>
      </c>
      <c r="C301" t="s">
        <v>324</v>
      </c>
      <c r="D301" t="str">
        <f t="shared" si="4"/>
        <v>png</v>
      </c>
    </row>
    <row r="302" spans="1:4" x14ac:dyDescent="0.25">
      <c r="A302" t="s">
        <v>303</v>
      </c>
      <c r="B302" t="s">
        <v>2269</v>
      </c>
      <c r="C302" t="s">
        <v>325</v>
      </c>
      <c r="D302" t="str">
        <f t="shared" si="4"/>
        <v>png</v>
      </c>
    </row>
    <row r="303" spans="1:4" x14ac:dyDescent="0.25">
      <c r="A303" t="s">
        <v>303</v>
      </c>
      <c r="B303" t="s">
        <v>2269</v>
      </c>
      <c r="C303" t="s">
        <v>326</v>
      </c>
      <c r="D303" t="str">
        <f t="shared" si="4"/>
        <v>png</v>
      </c>
    </row>
    <row r="304" spans="1:4" x14ac:dyDescent="0.25">
      <c r="A304" t="s">
        <v>303</v>
      </c>
      <c r="B304" t="s">
        <v>2269</v>
      </c>
      <c r="C304" t="s">
        <v>327</v>
      </c>
      <c r="D304" t="str">
        <f t="shared" si="4"/>
        <v>png</v>
      </c>
    </row>
    <row r="305" spans="1:4" x14ac:dyDescent="0.25">
      <c r="A305" t="s">
        <v>328</v>
      </c>
      <c r="B305" t="s">
        <v>2107</v>
      </c>
      <c r="C305" t="s">
        <v>329</v>
      </c>
      <c r="D305" t="str">
        <f t="shared" si="4"/>
        <v>pdf</v>
      </c>
    </row>
    <row r="306" spans="1:4" x14ac:dyDescent="0.25">
      <c r="A306" t="s">
        <v>328</v>
      </c>
      <c r="B306" t="s">
        <v>2107</v>
      </c>
      <c r="C306" t="s">
        <v>330</v>
      </c>
      <c r="D306" t="str">
        <f t="shared" si="4"/>
        <v>pdf</v>
      </c>
    </row>
    <row r="307" spans="1:4" x14ac:dyDescent="0.25">
      <c r="A307" t="s">
        <v>331</v>
      </c>
      <c r="B307" t="s">
        <v>2108</v>
      </c>
      <c r="C307" t="s">
        <v>332</v>
      </c>
      <c r="D307" t="str">
        <f t="shared" si="4"/>
        <v>pdf</v>
      </c>
    </row>
    <row r="308" spans="1:4" x14ac:dyDescent="0.25">
      <c r="A308" t="s">
        <v>331</v>
      </c>
      <c r="B308" t="s">
        <v>2108</v>
      </c>
      <c r="C308" t="s">
        <v>333</v>
      </c>
      <c r="D308" t="str">
        <f t="shared" si="4"/>
        <v>pdf</v>
      </c>
    </row>
    <row r="309" spans="1:4" x14ac:dyDescent="0.25">
      <c r="A309" t="s">
        <v>334</v>
      </c>
      <c r="B309" t="s">
        <v>2109</v>
      </c>
      <c r="C309" t="s">
        <v>335</v>
      </c>
      <c r="D309" t="str">
        <f t="shared" si="4"/>
        <v>pdf</v>
      </c>
    </row>
    <row r="310" spans="1:4" x14ac:dyDescent="0.25">
      <c r="A310" t="s">
        <v>334</v>
      </c>
      <c r="B310" t="s">
        <v>2109</v>
      </c>
      <c r="C310" t="s">
        <v>336</v>
      </c>
      <c r="D310" t="str">
        <f t="shared" si="4"/>
        <v>pdf</v>
      </c>
    </row>
    <row r="311" spans="1:4" x14ac:dyDescent="0.25">
      <c r="A311" t="s">
        <v>337</v>
      </c>
      <c r="B311" t="s">
        <v>2110</v>
      </c>
      <c r="C311" t="s">
        <v>338</v>
      </c>
      <c r="D311" t="str">
        <f t="shared" si="4"/>
        <v>pdf</v>
      </c>
    </row>
    <row r="312" spans="1:4" x14ac:dyDescent="0.25">
      <c r="A312" t="s">
        <v>337</v>
      </c>
      <c r="B312" t="s">
        <v>2110</v>
      </c>
      <c r="C312" t="s">
        <v>339</v>
      </c>
      <c r="D312" t="str">
        <f t="shared" si="4"/>
        <v>pdf</v>
      </c>
    </row>
    <row r="313" spans="1:4" x14ac:dyDescent="0.25">
      <c r="A313" t="s">
        <v>340</v>
      </c>
      <c r="B313" t="s">
        <v>2111</v>
      </c>
      <c r="C313" t="s">
        <v>341</v>
      </c>
      <c r="D313" t="str">
        <f t="shared" si="4"/>
        <v>pdf</v>
      </c>
    </row>
    <row r="314" spans="1:4" x14ac:dyDescent="0.25">
      <c r="A314" t="s">
        <v>340</v>
      </c>
      <c r="B314" t="s">
        <v>2111</v>
      </c>
      <c r="C314" t="s">
        <v>342</v>
      </c>
      <c r="D314" t="str">
        <f t="shared" si="4"/>
        <v>las</v>
      </c>
    </row>
    <row r="315" spans="1:4" x14ac:dyDescent="0.25">
      <c r="A315" t="s">
        <v>340</v>
      </c>
      <c r="B315" t="s">
        <v>2111</v>
      </c>
      <c r="C315" t="s">
        <v>343</v>
      </c>
      <c r="D315" t="str">
        <f t="shared" si="4"/>
        <v>las</v>
      </c>
    </row>
    <row r="316" spans="1:4" x14ac:dyDescent="0.25">
      <c r="A316" t="s">
        <v>340</v>
      </c>
      <c r="B316" t="s">
        <v>2111</v>
      </c>
      <c r="C316" t="s">
        <v>344</v>
      </c>
      <c r="D316" t="str">
        <f t="shared" si="4"/>
        <v>las</v>
      </c>
    </row>
    <row r="317" spans="1:4" x14ac:dyDescent="0.25">
      <c r="A317" t="s">
        <v>340</v>
      </c>
      <c r="B317" t="s">
        <v>2111</v>
      </c>
      <c r="C317" t="s">
        <v>345</v>
      </c>
      <c r="D317" t="str">
        <f t="shared" si="4"/>
        <v>las</v>
      </c>
    </row>
    <row r="318" spans="1:4" x14ac:dyDescent="0.25">
      <c r="A318" t="s">
        <v>340</v>
      </c>
      <c r="B318" t="s">
        <v>2111</v>
      </c>
      <c r="C318" t="s">
        <v>346</v>
      </c>
      <c r="D318" t="str">
        <f t="shared" si="4"/>
        <v>las</v>
      </c>
    </row>
    <row r="319" spans="1:4" x14ac:dyDescent="0.25">
      <c r="A319" t="s">
        <v>340</v>
      </c>
      <c r="B319" t="s">
        <v>2111</v>
      </c>
      <c r="C319" t="s">
        <v>347</v>
      </c>
      <c r="D319" t="str">
        <f t="shared" si="4"/>
        <v>las</v>
      </c>
    </row>
    <row r="320" spans="1:4" x14ac:dyDescent="0.25">
      <c r="A320" t="s">
        <v>340</v>
      </c>
      <c r="B320" t="s">
        <v>2111</v>
      </c>
      <c r="C320" t="s">
        <v>348</v>
      </c>
      <c r="D320" t="str">
        <f t="shared" si="4"/>
        <v>las</v>
      </c>
    </row>
    <row r="321" spans="1:4" x14ac:dyDescent="0.25">
      <c r="A321" t="s">
        <v>340</v>
      </c>
      <c r="B321" t="s">
        <v>2111</v>
      </c>
      <c r="C321" t="s">
        <v>349</v>
      </c>
      <c r="D321" t="str">
        <f t="shared" si="4"/>
        <v>las</v>
      </c>
    </row>
    <row r="322" spans="1:4" x14ac:dyDescent="0.25">
      <c r="A322" t="s">
        <v>340</v>
      </c>
      <c r="B322" t="s">
        <v>2111</v>
      </c>
      <c r="C322" t="s">
        <v>350</v>
      </c>
      <c r="D322" t="str">
        <f t="shared" si="4"/>
        <v>las</v>
      </c>
    </row>
    <row r="323" spans="1:4" x14ac:dyDescent="0.25">
      <c r="A323" t="s">
        <v>340</v>
      </c>
      <c r="B323" t="s">
        <v>2111</v>
      </c>
      <c r="C323" t="s">
        <v>351</v>
      </c>
      <c r="D323" t="str">
        <f t="shared" ref="D323:D386" si="5">IF(ISNUMBER(SEARCH(".pdf",C323)),"pdf",IF(ISNUMBER(SEARCH(".tif",C323)),"tif",IF(ISNUMBER(SEARCH(".las",C323)),"las",IF(ISNUMBER(SEARCH(".sdg",C323)),"sdg",IF(ISNUMBER(SEARCH(".xlsx",C323)),"xlsx",IF(ISNUMBER(SEARCH(".docx",C323)),"docx",IF(ISNUMBER(SEARCH(".rhistory",C323)),"rhistory",IF(ISNUMBER(SEARCH(".db",C323)),"db",IF(ISNUMBER(SEARCH(".jpg",C323)),"jpg",IF(ISNUMBER(SEARCH(".png",C323)),"png",IF(ISNUMBER(SEARCH(".mdb",C323)),"mdb",IF(ISNUMBER(SEARCH(".xml",C323)),"xml",IF(ISNUMBER(SEARCH(".xls",C323)),"xls",IF(ISNUMBER(SEARCH(".txt",C323)),"txt",IF(ISNUMBER(SEARCH(".tsf",C323)),"tsf",IF(ISNUMBER(SEARCH(".sch",C323)),"sch","ZIP oder R"))))))))))))))))</f>
        <v>las</v>
      </c>
    </row>
    <row r="324" spans="1:4" x14ac:dyDescent="0.25">
      <c r="A324" t="s">
        <v>340</v>
      </c>
      <c r="B324" t="s">
        <v>2111</v>
      </c>
      <c r="C324" t="s">
        <v>352</v>
      </c>
      <c r="D324" t="str">
        <f t="shared" si="5"/>
        <v>sdg</v>
      </c>
    </row>
    <row r="325" spans="1:4" x14ac:dyDescent="0.25">
      <c r="A325" t="s">
        <v>340</v>
      </c>
      <c r="B325" t="s">
        <v>2111</v>
      </c>
      <c r="C325" t="s">
        <v>353</v>
      </c>
      <c r="D325" t="str">
        <f t="shared" si="5"/>
        <v>xlsx</v>
      </c>
    </row>
    <row r="326" spans="1:4" x14ac:dyDescent="0.25">
      <c r="A326" t="s">
        <v>340</v>
      </c>
      <c r="B326" t="s">
        <v>2111</v>
      </c>
      <c r="C326" t="s">
        <v>354</v>
      </c>
      <c r="D326" t="str">
        <f t="shared" si="5"/>
        <v>xlsx</v>
      </c>
    </row>
    <row r="327" spans="1:4" x14ac:dyDescent="0.25">
      <c r="A327" t="s">
        <v>355</v>
      </c>
      <c r="B327" t="s">
        <v>2112</v>
      </c>
      <c r="C327" t="s">
        <v>356</v>
      </c>
      <c r="D327" t="str">
        <f t="shared" si="5"/>
        <v>pdf</v>
      </c>
    </row>
    <row r="328" spans="1:4" x14ac:dyDescent="0.25">
      <c r="A328" t="s">
        <v>355</v>
      </c>
      <c r="B328" t="s">
        <v>2112</v>
      </c>
      <c r="C328" t="s">
        <v>357</v>
      </c>
      <c r="D328" t="str">
        <f t="shared" si="5"/>
        <v>pdf</v>
      </c>
    </row>
    <row r="329" spans="1:4" x14ac:dyDescent="0.25">
      <c r="A329" t="s">
        <v>358</v>
      </c>
      <c r="B329" t="s">
        <v>2113</v>
      </c>
      <c r="C329" t="s">
        <v>359</v>
      </c>
      <c r="D329" t="str">
        <f t="shared" si="5"/>
        <v>pdf</v>
      </c>
    </row>
    <row r="330" spans="1:4" x14ac:dyDescent="0.25">
      <c r="A330" t="s">
        <v>358</v>
      </c>
      <c r="B330" t="s">
        <v>2113</v>
      </c>
      <c r="C330" t="s">
        <v>360</v>
      </c>
      <c r="D330" t="str">
        <f t="shared" si="5"/>
        <v>pdf</v>
      </c>
    </row>
    <row r="331" spans="1:4" x14ac:dyDescent="0.25">
      <c r="A331" t="s">
        <v>361</v>
      </c>
      <c r="B331" t="s">
        <v>2114</v>
      </c>
      <c r="C331" t="s">
        <v>362</v>
      </c>
      <c r="D331" t="str">
        <f t="shared" si="5"/>
        <v>pdf</v>
      </c>
    </row>
    <row r="332" spans="1:4" x14ac:dyDescent="0.25">
      <c r="A332" t="s">
        <v>363</v>
      </c>
      <c r="B332" t="s">
        <v>2115</v>
      </c>
      <c r="C332" t="s">
        <v>364</v>
      </c>
      <c r="D332" t="str">
        <f t="shared" si="5"/>
        <v>las</v>
      </c>
    </row>
    <row r="333" spans="1:4" x14ac:dyDescent="0.25">
      <c r="A333" t="s">
        <v>363</v>
      </c>
      <c r="B333" t="s">
        <v>2115</v>
      </c>
      <c r="C333" t="s">
        <v>365</v>
      </c>
      <c r="D333" t="str">
        <f t="shared" si="5"/>
        <v>las</v>
      </c>
    </row>
    <row r="334" spans="1:4" x14ac:dyDescent="0.25">
      <c r="A334" t="s">
        <v>363</v>
      </c>
      <c r="B334" t="s">
        <v>2115</v>
      </c>
      <c r="C334" t="s">
        <v>366</v>
      </c>
      <c r="D334" t="str">
        <f t="shared" si="5"/>
        <v>las</v>
      </c>
    </row>
    <row r="335" spans="1:4" x14ac:dyDescent="0.25">
      <c r="A335" t="s">
        <v>363</v>
      </c>
      <c r="B335" t="s">
        <v>2115</v>
      </c>
      <c r="C335" t="s">
        <v>367</v>
      </c>
      <c r="D335" t="str">
        <f t="shared" si="5"/>
        <v>las</v>
      </c>
    </row>
    <row r="336" spans="1:4" x14ac:dyDescent="0.25">
      <c r="A336" t="s">
        <v>363</v>
      </c>
      <c r="B336" t="s">
        <v>2115</v>
      </c>
      <c r="C336" t="s">
        <v>368</v>
      </c>
      <c r="D336" t="str">
        <f t="shared" si="5"/>
        <v>las</v>
      </c>
    </row>
    <row r="337" spans="1:4" x14ac:dyDescent="0.25">
      <c r="A337" t="s">
        <v>363</v>
      </c>
      <c r="B337" t="s">
        <v>2115</v>
      </c>
      <c r="C337" t="s">
        <v>369</v>
      </c>
      <c r="D337" t="str">
        <f t="shared" si="5"/>
        <v>las</v>
      </c>
    </row>
    <row r="338" spans="1:4" x14ac:dyDescent="0.25">
      <c r="A338" t="s">
        <v>363</v>
      </c>
      <c r="B338" t="s">
        <v>2115</v>
      </c>
      <c r="C338" t="s">
        <v>370</v>
      </c>
      <c r="D338" t="str">
        <f t="shared" si="5"/>
        <v>las</v>
      </c>
    </row>
    <row r="339" spans="1:4" x14ac:dyDescent="0.25">
      <c r="A339" t="s">
        <v>363</v>
      </c>
      <c r="B339" t="s">
        <v>2115</v>
      </c>
      <c r="C339" t="s">
        <v>371</v>
      </c>
      <c r="D339" t="str">
        <f t="shared" si="5"/>
        <v>las</v>
      </c>
    </row>
    <row r="340" spans="1:4" x14ac:dyDescent="0.25">
      <c r="A340" t="s">
        <v>363</v>
      </c>
      <c r="B340" t="s">
        <v>2115</v>
      </c>
      <c r="C340" t="s">
        <v>372</v>
      </c>
      <c r="D340" t="str">
        <f t="shared" si="5"/>
        <v>las</v>
      </c>
    </row>
    <row r="341" spans="1:4" x14ac:dyDescent="0.25">
      <c r="A341" t="s">
        <v>363</v>
      </c>
      <c r="B341" t="s">
        <v>2115</v>
      </c>
      <c r="C341" t="s">
        <v>373</v>
      </c>
      <c r="D341" t="str">
        <f t="shared" si="5"/>
        <v>las</v>
      </c>
    </row>
    <row r="342" spans="1:4" x14ac:dyDescent="0.25">
      <c r="A342" t="s">
        <v>363</v>
      </c>
      <c r="B342" t="s">
        <v>2115</v>
      </c>
      <c r="C342" t="s">
        <v>374</v>
      </c>
      <c r="D342" t="str">
        <f t="shared" si="5"/>
        <v>las</v>
      </c>
    </row>
    <row r="343" spans="1:4" x14ac:dyDescent="0.25">
      <c r="A343" t="s">
        <v>363</v>
      </c>
      <c r="B343" t="s">
        <v>2115</v>
      </c>
      <c r="C343" t="s">
        <v>375</v>
      </c>
      <c r="D343" t="str">
        <f t="shared" si="5"/>
        <v>las</v>
      </c>
    </row>
    <row r="344" spans="1:4" x14ac:dyDescent="0.25">
      <c r="A344" t="s">
        <v>363</v>
      </c>
      <c r="B344" t="s">
        <v>2115</v>
      </c>
      <c r="C344" t="s">
        <v>376</v>
      </c>
      <c r="D344" t="str">
        <f t="shared" si="5"/>
        <v>las</v>
      </c>
    </row>
    <row r="345" spans="1:4" x14ac:dyDescent="0.25">
      <c r="A345" t="s">
        <v>363</v>
      </c>
      <c r="B345" t="s">
        <v>2115</v>
      </c>
      <c r="C345" t="s">
        <v>377</v>
      </c>
      <c r="D345" t="str">
        <f t="shared" si="5"/>
        <v>las</v>
      </c>
    </row>
    <row r="346" spans="1:4" x14ac:dyDescent="0.25">
      <c r="A346" t="s">
        <v>363</v>
      </c>
      <c r="B346" t="s">
        <v>2115</v>
      </c>
      <c r="C346" t="s">
        <v>378</v>
      </c>
      <c r="D346" t="str">
        <f t="shared" si="5"/>
        <v>las</v>
      </c>
    </row>
    <row r="347" spans="1:4" x14ac:dyDescent="0.25">
      <c r="A347" t="s">
        <v>363</v>
      </c>
      <c r="B347" t="s">
        <v>2115</v>
      </c>
      <c r="C347" t="s">
        <v>379</v>
      </c>
      <c r="D347" t="str">
        <f t="shared" si="5"/>
        <v>las</v>
      </c>
    </row>
    <row r="348" spans="1:4" x14ac:dyDescent="0.25">
      <c r="A348" t="s">
        <v>363</v>
      </c>
      <c r="B348" t="s">
        <v>2115</v>
      </c>
      <c r="C348" t="s">
        <v>380</v>
      </c>
      <c r="D348" t="str">
        <f t="shared" si="5"/>
        <v>las</v>
      </c>
    </row>
    <row r="349" spans="1:4" x14ac:dyDescent="0.25">
      <c r="A349" t="s">
        <v>363</v>
      </c>
      <c r="B349" t="s">
        <v>2115</v>
      </c>
      <c r="C349" t="s">
        <v>381</v>
      </c>
      <c r="D349" t="str">
        <f t="shared" si="5"/>
        <v>las</v>
      </c>
    </row>
    <row r="350" spans="1:4" x14ac:dyDescent="0.25">
      <c r="A350" t="s">
        <v>363</v>
      </c>
      <c r="B350" t="s">
        <v>2115</v>
      </c>
      <c r="C350" t="s">
        <v>382</v>
      </c>
      <c r="D350" t="str">
        <f t="shared" si="5"/>
        <v>las</v>
      </c>
    </row>
    <row r="351" spans="1:4" x14ac:dyDescent="0.25">
      <c r="A351" t="s">
        <v>363</v>
      </c>
      <c r="B351" t="s">
        <v>2115</v>
      </c>
      <c r="C351" t="s">
        <v>383</v>
      </c>
      <c r="D351" t="str">
        <f t="shared" si="5"/>
        <v>las</v>
      </c>
    </row>
    <row r="352" spans="1:4" x14ac:dyDescent="0.25">
      <c r="A352" t="s">
        <v>363</v>
      </c>
      <c r="B352" t="s">
        <v>2115</v>
      </c>
      <c r="C352" t="s">
        <v>384</v>
      </c>
      <c r="D352" t="str">
        <f t="shared" si="5"/>
        <v>las</v>
      </c>
    </row>
    <row r="353" spans="1:4" x14ac:dyDescent="0.25">
      <c r="A353" t="s">
        <v>363</v>
      </c>
      <c r="B353" t="s">
        <v>2115</v>
      </c>
      <c r="C353" t="s">
        <v>385</v>
      </c>
      <c r="D353" t="str">
        <f t="shared" si="5"/>
        <v>las</v>
      </c>
    </row>
    <row r="354" spans="1:4" x14ac:dyDescent="0.25">
      <c r="A354" t="s">
        <v>363</v>
      </c>
      <c r="B354" t="s">
        <v>2115</v>
      </c>
      <c r="C354" t="s">
        <v>386</v>
      </c>
      <c r="D354" t="str">
        <f t="shared" si="5"/>
        <v>las</v>
      </c>
    </row>
    <row r="355" spans="1:4" x14ac:dyDescent="0.25">
      <c r="A355" t="s">
        <v>363</v>
      </c>
      <c r="B355" t="s">
        <v>2115</v>
      </c>
      <c r="C355" t="s">
        <v>387</v>
      </c>
      <c r="D355" t="str">
        <f t="shared" si="5"/>
        <v>las</v>
      </c>
    </row>
    <row r="356" spans="1:4" x14ac:dyDescent="0.25">
      <c r="A356" t="s">
        <v>363</v>
      </c>
      <c r="B356" t="s">
        <v>2115</v>
      </c>
      <c r="C356" t="s">
        <v>388</v>
      </c>
      <c r="D356" t="str">
        <f t="shared" si="5"/>
        <v>sdg</v>
      </c>
    </row>
    <row r="357" spans="1:4" x14ac:dyDescent="0.25">
      <c r="A357" t="s">
        <v>363</v>
      </c>
      <c r="B357" t="s">
        <v>2115</v>
      </c>
      <c r="C357" t="s">
        <v>389</v>
      </c>
      <c r="D357" t="str">
        <f t="shared" si="5"/>
        <v>xlsx</v>
      </c>
    </row>
    <row r="358" spans="1:4" x14ac:dyDescent="0.25">
      <c r="A358" t="s">
        <v>363</v>
      </c>
      <c r="B358" t="s">
        <v>2115</v>
      </c>
      <c r="C358" t="s">
        <v>390</v>
      </c>
      <c r="D358" t="str">
        <f t="shared" si="5"/>
        <v>pdf</v>
      </c>
    </row>
    <row r="359" spans="1:4" x14ac:dyDescent="0.25">
      <c r="A359" t="s">
        <v>363</v>
      </c>
      <c r="B359" t="s">
        <v>2115</v>
      </c>
      <c r="C359" t="s">
        <v>391</v>
      </c>
      <c r="D359" t="str">
        <f t="shared" si="5"/>
        <v>las</v>
      </c>
    </row>
    <row r="360" spans="1:4" x14ac:dyDescent="0.25">
      <c r="A360" t="s">
        <v>363</v>
      </c>
      <c r="B360" t="s">
        <v>2115</v>
      </c>
      <c r="C360" t="s">
        <v>392</v>
      </c>
      <c r="D360" t="str">
        <f t="shared" si="5"/>
        <v>las</v>
      </c>
    </row>
    <row r="361" spans="1:4" x14ac:dyDescent="0.25">
      <c r="A361" t="s">
        <v>393</v>
      </c>
      <c r="B361" t="s">
        <v>2116</v>
      </c>
      <c r="C361" t="s">
        <v>394</v>
      </c>
      <c r="D361" t="str">
        <f t="shared" si="5"/>
        <v>pdf</v>
      </c>
    </row>
    <row r="362" spans="1:4" x14ac:dyDescent="0.25">
      <c r="A362" t="s">
        <v>393</v>
      </c>
      <c r="B362" t="s">
        <v>2116</v>
      </c>
      <c r="C362" t="s">
        <v>395</v>
      </c>
      <c r="D362" t="str">
        <f t="shared" si="5"/>
        <v>pdf</v>
      </c>
    </row>
    <row r="363" spans="1:4" x14ac:dyDescent="0.25">
      <c r="A363" t="s">
        <v>396</v>
      </c>
      <c r="B363" t="s">
        <v>2117</v>
      </c>
      <c r="C363" t="s">
        <v>397</v>
      </c>
      <c r="D363" t="str">
        <f t="shared" si="5"/>
        <v>pdf</v>
      </c>
    </row>
    <row r="364" spans="1:4" x14ac:dyDescent="0.25">
      <c r="A364" t="s">
        <v>396</v>
      </c>
      <c r="B364" t="s">
        <v>2117</v>
      </c>
      <c r="C364" t="s">
        <v>398</v>
      </c>
      <c r="D364" t="str">
        <f t="shared" si="5"/>
        <v>las</v>
      </c>
    </row>
    <row r="365" spans="1:4" x14ac:dyDescent="0.25">
      <c r="A365" t="s">
        <v>396</v>
      </c>
      <c r="B365" t="s">
        <v>2117</v>
      </c>
      <c r="C365" t="s">
        <v>399</v>
      </c>
      <c r="D365" t="str">
        <f t="shared" si="5"/>
        <v>las</v>
      </c>
    </row>
    <row r="366" spans="1:4" x14ac:dyDescent="0.25">
      <c r="A366" t="s">
        <v>396</v>
      </c>
      <c r="B366" t="s">
        <v>2117</v>
      </c>
      <c r="C366" t="s">
        <v>400</v>
      </c>
      <c r="D366" t="str">
        <f t="shared" si="5"/>
        <v>las</v>
      </c>
    </row>
    <row r="367" spans="1:4" x14ac:dyDescent="0.25">
      <c r="A367" t="s">
        <v>396</v>
      </c>
      <c r="B367" t="s">
        <v>2117</v>
      </c>
      <c r="C367" t="s">
        <v>401</v>
      </c>
      <c r="D367" t="str">
        <f t="shared" si="5"/>
        <v>las</v>
      </c>
    </row>
    <row r="368" spans="1:4" x14ac:dyDescent="0.25">
      <c r="A368" t="s">
        <v>396</v>
      </c>
      <c r="B368" t="s">
        <v>2117</v>
      </c>
      <c r="C368" t="s">
        <v>402</v>
      </c>
      <c r="D368" t="str">
        <f t="shared" si="5"/>
        <v>las</v>
      </c>
    </row>
    <row r="369" spans="1:4" x14ac:dyDescent="0.25">
      <c r="A369" t="s">
        <v>396</v>
      </c>
      <c r="B369" t="s">
        <v>2117</v>
      </c>
      <c r="C369" t="s">
        <v>403</v>
      </c>
      <c r="D369" t="str">
        <f t="shared" si="5"/>
        <v>sdg</v>
      </c>
    </row>
    <row r="370" spans="1:4" x14ac:dyDescent="0.25">
      <c r="A370" t="s">
        <v>396</v>
      </c>
      <c r="B370" t="s">
        <v>2117</v>
      </c>
      <c r="C370" t="s">
        <v>404</v>
      </c>
      <c r="D370" t="str">
        <f t="shared" si="5"/>
        <v>xlsx</v>
      </c>
    </row>
    <row r="371" spans="1:4" x14ac:dyDescent="0.25">
      <c r="A371" t="s">
        <v>396</v>
      </c>
      <c r="B371" t="s">
        <v>2117</v>
      </c>
      <c r="C371" t="s">
        <v>405</v>
      </c>
      <c r="D371" t="str">
        <f t="shared" si="5"/>
        <v>pdf</v>
      </c>
    </row>
    <row r="372" spans="1:4" x14ac:dyDescent="0.25">
      <c r="A372" t="s">
        <v>406</v>
      </c>
      <c r="B372" t="s">
        <v>2118</v>
      </c>
      <c r="C372" t="s">
        <v>407</v>
      </c>
      <c r="D372" t="str">
        <f t="shared" si="5"/>
        <v>pdf</v>
      </c>
    </row>
    <row r="373" spans="1:4" x14ac:dyDescent="0.25">
      <c r="A373" t="s">
        <v>408</v>
      </c>
      <c r="B373" t="s">
        <v>2119</v>
      </c>
      <c r="C373" t="s">
        <v>409</v>
      </c>
      <c r="D373" t="str">
        <f t="shared" si="5"/>
        <v>tif</v>
      </c>
    </row>
    <row r="374" spans="1:4" x14ac:dyDescent="0.25">
      <c r="A374" t="s">
        <v>408</v>
      </c>
      <c r="B374" t="s">
        <v>2119</v>
      </c>
      <c r="C374" t="s">
        <v>410</v>
      </c>
      <c r="D374" t="str">
        <f t="shared" si="5"/>
        <v>tif</v>
      </c>
    </row>
    <row r="375" spans="1:4" x14ac:dyDescent="0.25">
      <c r="A375" t="s">
        <v>408</v>
      </c>
      <c r="B375" t="s">
        <v>2119</v>
      </c>
      <c r="C375" t="s">
        <v>411</v>
      </c>
      <c r="D375" t="str">
        <f t="shared" si="5"/>
        <v>tif</v>
      </c>
    </row>
    <row r="376" spans="1:4" x14ac:dyDescent="0.25">
      <c r="A376" t="s">
        <v>408</v>
      </c>
      <c r="B376" t="s">
        <v>2119</v>
      </c>
      <c r="C376" t="s">
        <v>412</v>
      </c>
      <c r="D376" t="str">
        <f t="shared" si="5"/>
        <v>tif</v>
      </c>
    </row>
    <row r="377" spans="1:4" x14ac:dyDescent="0.25">
      <c r="A377" t="s">
        <v>408</v>
      </c>
      <c r="B377" t="s">
        <v>2119</v>
      </c>
      <c r="C377" t="s">
        <v>413</v>
      </c>
      <c r="D377" t="str">
        <f t="shared" si="5"/>
        <v>tif</v>
      </c>
    </row>
    <row r="378" spans="1:4" x14ac:dyDescent="0.25">
      <c r="A378" t="s">
        <v>414</v>
      </c>
      <c r="B378" t="s">
        <v>2120</v>
      </c>
      <c r="C378" t="s">
        <v>415</v>
      </c>
      <c r="D378" t="str">
        <f t="shared" si="5"/>
        <v>las</v>
      </c>
    </row>
    <row r="379" spans="1:4" x14ac:dyDescent="0.25">
      <c r="A379" t="s">
        <v>414</v>
      </c>
      <c r="B379" t="s">
        <v>2120</v>
      </c>
      <c r="C379" t="s">
        <v>416</v>
      </c>
      <c r="D379" t="str">
        <f t="shared" si="5"/>
        <v>las</v>
      </c>
    </row>
    <row r="380" spans="1:4" x14ac:dyDescent="0.25">
      <c r="A380" t="s">
        <v>414</v>
      </c>
      <c r="B380" t="s">
        <v>2120</v>
      </c>
      <c r="C380" t="s">
        <v>417</v>
      </c>
      <c r="D380" t="str">
        <f t="shared" si="5"/>
        <v>sdg</v>
      </c>
    </row>
    <row r="381" spans="1:4" x14ac:dyDescent="0.25">
      <c r="A381" t="s">
        <v>414</v>
      </c>
      <c r="B381" t="s">
        <v>2120</v>
      </c>
      <c r="C381" t="s">
        <v>418</v>
      </c>
      <c r="D381" t="str">
        <f t="shared" si="5"/>
        <v>xlsx</v>
      </c>
    </row>
    <row r="382" spans="1:4" x14ac:dyDescent="0.25">
      <c r="A382" t="s">
        <v>419</v>
      </c>
      <c r="B382" t="s">
        <v>2270</v>
      </c>
      <c r="C382" t="s">
        <v>420</v>
      </c>
      <c r="D382" t="str">
        <f t="shared" si="5"/>
        <v>pdf</v>
      </c>
    </row>
    <row r="383" spans="1:4" x14ac:dyDescent="0.25">
      <c r="A383" t="s">
        <v>419</v>
      </c>
      <c r="B383" t="s">
        <v>2270</v>
      </c>
      <c r="C383" t="s">
        <v>421</v>
      </c>
      <c r="D383" t="str">
        <f t="shared" si="5"/>
        <v>xlsx</v>
      </c>
    </row>
    <row r="384" spans="1:4" x14ac:dyDescent="0.25">
      <c r="A384" t="s">
        <v>422</v>
      </c>
      <c r="B384" t="s">
        <v>2270</v>
      </c>
      <c r="C384" t="s">
        <v>423</v>
      </c>
      <c r="D384" t="str">
        <f t="shared" si="5"/>
        <v>sdg</v>
      </c>
    </row>
    <row r="385" spans="1:4" x14ac:dyDescent="0.25">
      <c r="A385" t="s">
        <v>424</v>
      </c>
      <c r="B385" t="s">
        <v>2121</v>
      </c>
      <c r="C385" t="s">
        <v>425</v>
      </c>
      <c r="D385" t="str">
        <f t="shared" si="5"/>
        <v>las</v>
      </c>
    </row>
    <row r="386" spans="1:4" x14ac:dyDescent="0.25">
      <c r="A386" t="s">
        <v>424</v>
      </c>
      <c r="B386" t="s">
        <v>2121</v>
      </c>
      <c r="C386" t="s">
        <v>426</v>
      </c>
      <c r="D386" t="str">
        <f t="shared" si="5"/>
        <v>las</v>
      </c>
    </row>
    <row r="387" spans="1:4" x14ac:dyDescent="0.25">
      <c r="A387" t="s">
        <v>424</v>
      </c>
      <c r="B387" t="s">
        <v>2121</v>
      </c>
      <c r="C387" t="s">
        <v>427</v>
      </c>
      <c r="D387" t="str">
        <f t="shared" ref="D387:D450" si="6">IF(ISNUMBER(SEARCH(".pdf",C387)),"pdf",IF(ISNUMBER(SEARCH(".tif",C387)),"tif",IF(ISNUMBER(SEARCH(".las",C387)),"las",IF(ISNUMBER(SEARCH(".sdg",C387)),"sdg",IF(ISNUMBER(SEARCH(".xlsx",C387)),"xlsx",IF(ISNUMBER(SEARCH(".docx",C387)),"docx",IF(ISNUMBER(SEARCH(".rhistory",C387)),"rhistory",IF(ISNUMBER(SEARCH(".db",C387)),"db",IF(ISNUMBER(SEARCH(".jpg",C387)),"jpg",IF(ISNUMBER(SEARCH(".png",C387)),"png",IF(ISNUMBER(SEARCH(".mdb",C387)),"mdb",IF(ISNUMBER(SEARCH(".xml",C387)),"xml",IF(ISNUMBER(SEARCH(".xls",C387)),"xls",IF(ISNUMBER(SEARCH(".txt",C387)),"txt",IF(ISNUMBER(SEARCH(".tsf",C387)),"tsf",IF(ISNUMBER(SEARCH(".sch",C387)),"sch","ZIP oder R"))))))))))))))))</f>
        <v>las</v>
      </c>
    </row>
    <row r="388" spans="1:4" x14ac:dyDescent="0.25">
      <c r="A388" t="s">
        <v>424</v>
      </c>
      <c r="B388" t="s">
        <v>2121</v>
      </c>
      <c r="C388" t="s">
        <v>428</v>
      </c>
      <c r="D388" t="str">
        <f t="shared" si="6"/>
        <v>sdg</v>
      </c>
    </row>
    <row r="389" spans="1:4" x14ac:dyDescent="0.25">
      <c r="A389" t="s">
        <v>424</v>
      </c>
      <c r="B389" t="s">
        <v>2121</v>
      </c>
      <c r="C389" t="s">
        <v>429</v>
      </c>
      <c r="D389" t="str">
        <f t="shared" si="6"/>
        <v>xlsx</v>
      </c>
    </row>
    <row r="390" spans="1:4" x14ac:dyDescent="0.25">
      <c r="A390" t="s">
        <v>430</v>
      </c>
      <c r="B390" t="s">
        <v>2122</v>
      </c>
      <c r="C390" t="s">
        <v>431</v>
      </c>
      <c r="D390" t="str">
        <f t="shared" si="6"/>
        <v>pdf</v>
      </c>
    </row>
    <row r="391" spans="1:4" x14ac:dyDescent="0.25">
      <c r="A391" t="s">
        <v>430</v>
      </c>
      <c r="B391" t="s">
        <v>2122</v>
      </c>
      <c r="C391" t="s">
        <v>432</v>
      </c>
      <c r="D391" t="str">
        <f t="shared" si="6"/>
        <v>pdf</v>
      </c>
    </row>
    <row r="392" spans="1:4" x14ac:dyDescent="0.25">
      <c r="A392" t="s">
        <v>430</v>
      </c>
      <c r="B392" t="s">
        <v>2122</v>
      </c>
      <c r="C392" t="s">
        <v>433</v>
      </c>
      <c r="D392" t="str">
        <f t="shared" si="6"/>
        <v>tif</v>
      </c>
    </row>
    <row r="393" spans="1:4" x14ac:dyDescent="0.25">
      <c r="A393" t="s">
        <v>430</v>
      </c>
      <c r="B393" t="s">
        <v>2122</v>
      </c>
      <c r="C393" t="s">
        <v>434</v>
      </c>
      <c r="D393" t="str">
        <f t="shared" si="6"/>
        <v>tif</v>
      </c>
    </row>
    <row r="394" spans="1:4" x14ac:dyDescent="0.25">
      <c r="A394" t="s">
        <v>430</v>
      </c>
      <c r="B394" t="s">
        <v>2122</v>
      </c>
      <c r="C394" t="s">
        <v>435</v>
      </c>
      <c r="D394" t="str">
        <f t="shared" si="6"/>
        <v>tif</v>
      </c>
    </row>
    <row r="395" spans="1:4" x14ac:dyDescent="0.25">
      <c r="A395" t="s">
        <v>430</v>
      </c>
      <c r="B395" t="s">
        <v>2122</v>
      </c>
      <c r="C395" t="s">
        <v>436</v>
      </c>
      <c r="D395" t="str">
        <f t="shared" si="6"/>
        <v>pdf</v>
      </c>
    </row>
    <row r="396" spans="1:4" x14ac:dyDescent="0.25">
      <c r="A396" t="s">
        <v>437</v>
      </c>
      <c r="B396" t="s">
        <v>2123</v>
      </c>
      <c r="C396" t="s">
        <v>438</v>
      </c>
      <c r="D396" t="str">
        <f t="shared" si="6"/>
        <v>pdf</v>
      </c>
    </row>
    <row r="397" spans="1:4" x14ac:dyDescent="0.25">
      <c r="A397" t="s">
        <v>437</v>
      </c>
      <c r="B397" t="s">
        <v>2123</v>
      </c>
      <c r="C397" t="s">
        <v>439</v>
      </c>
      <c r="D397" t="str">
        <f t="shared" si="6"/>
        <v>pdf</v>
      </c>
    </row>
    <row r="398" spans="1:4" x14ac:dyDescent="0.25">
      <c r="A398" t="s">
        <v>437</v>
      </c>
      <c r="B398" t="s">
        <v>2123</v>
      </c>
      <c r="C398" t="s">
        <v>440</v>
      </c>
      <c r="D398" t="str">
        <f t="shared" si="6"/>
        <v>jpg</v>
      </c>
    </row>
    <row r="399" spans="1:4" x14ac:dyDescent="0.25">
      <c r="A399" t="s">
        <v>437</v>
      </c>
      <c r="B399" t="s">
        <v>2123</v>
      </c>
      <c r="C399" t="s">
        <v>441</v>
      </c>
      <c r="D399" t="str">
        <f t="shared" si="6"/>
        <v>jpg</v>
      </c>
    </row>
    <row r="400" spans="1:4" x14ac:dyDescent="0.25">
      <c r="A400" t="s">
        <v>437</v>
      </c>
      <c r="B400" t="s">
        <v>2123</v>
      </c>
      <c r="C400" t="s">
        <v>442</v>
      </c>
      <c r="D400" t="str">
        <f t="shared" si="6"/>
        <v>jpg</v>
      </c>
    </row>
    <row r="401" spans="1:4" x14ac:dyDescent="0.25">
      <c r="A401" t="s">
        <v>437</v>
      </c>
      <c r="B401" t="s">
        <v>2123</v>
      </c>
      <c r="C401" t="s">
        <v>443</v>
      </c>
      <c r="D401" t="str">
        <f t="shared" si="6"/>
        <v>jpg</v>
      </c>
    </row>
    <row r="402" spans="1:4" x14ac:dyDescent="0.25">
      <c r="A402" t="s">
        <v>437</v>
      </c>
      <c r="B402" t="s">
        <v>2123</v>
      </c>
      <c r="C402" t="s">
        <v>444</v>
      </c>
      <c r="D402" t="str">
        <f t="shared" si="6"/>
        <v>jpg</v>
      </c>
    </row>
    <row r="403" spans="1:4" x14ac:dyDescent="0.25">
      <c r="A403" t="s">
        <v>437</v>
      </c>
      <c r="B403" t="s">
        <v>2123</v>
      </c>
      <c r="C403" t="s">
        <v>445</v>
      </c>
      <c r="D403" t="str">
        <f t="shared" si="6"/>
        <v>jpg</v>
      </c>
    </row>
    <row r="404" spans="1:4" x14ac:dyDescent="0.25">
      <c r="A404" t="s">
        <v>437</v>
      </c>
      <c r="B404" t="s">
        <v>2123</v>
      </c>
      <c r="C404" t="s">
        <v>446</v>
      </c>
      <c r="D404" t="str">
        <f t="shared" si="6"/>
        <v>jpg</v>
      </c>
    </row>
    <row r="405" spans="1:4" x14ac:dyDescent="0.25">
      <c r="A405" t="s">
        <v>437</v>
      </c>
      <c r="B405" t="s">
        <v>2123</v>
      </c>
      <c r="C405" t="s">
        <v>447</v>
      </c>
      <c r="D405" t="str">
        <f t="shared" si="6"/>
        <v>jpg</v>
      </c>
    </row>
    <row r="406" spans="1:4" x14ac:dyDescent="0.25">
      <c r="A406" t="s">
        <v>437</v>
      </c>
      <c r="B406" t="s">
        <v>2123</v>
      </c>
      <c r="C406" t="s">
        <v>448</v>
      </c>
      <c r="D406" t="str">
        <f t="shared" si="6"/>
        <v>jpg</v>
      </c>
    </row>
    <row r="407" spans="1:4" x14ac:dyDescent="0.25">
      <c r="A407" t="s">
        <v>449</v>
      </c>
      <c r="B407" t="s">
        <v>2124</v>
      </c>
      <c r="C407" t="s">
        <v>450</v>
      </c>
      <c r="D407" t="str">
        <f t="shared" si="6"/>
        <v>pdf</v>
      </c>
    </row>
    <row r="408" spans="1:4" x14ac:dyDescent="0.25">
      <c r="A408" t="s">
        <v>449</v>
      </c>
      <c r="B408" t="s">
        <v>2124</v>
      </c>
      <c r="C408" t="s">
        <v>451</v>
      </c>
      <c r="D408" t="str">
        <f t="shared" si="6"/>
        <v>xlsx</v>
      </c>
    </row>
    <row r="409" spans="1:4" x14ac:dyDescent="0.25">
      <c r="A409" t="s">
        <v>449</v>
      </c>
      <c r="B409" t="s">
        <v>2124</v>
      </c>
      <c r="C409" t="s">
        <v>452</v>
      </c>
      <c r="D409" t="str">
        <f t="shared" si="6"/>
        <v>sdg</v>
      </c>
    </row>
    <row r="410" spans="1:4" x14ac:dyDescent="0.25">
      <c r="A410" t="s">
        <v>453</v>
      </c>
      <c r="B410" t="s">
        <v>2124</v>
      </c>
      <c r="C410" t="s">
        <v>454</v>
      </c>
      <c r="D410" t="str">
        <f t="shared" si="6"/>
        <v>las</v>
      </c>
    </row>
    <row r="411" spans="1:4" x14ac:dyDescent="0.25">
      <c r="A411" t="s">
        <v>453</v>
      </c>
      <c r="B411" t="s">
        <v>2124</v>
      </c>
      <c r="C411" t="s">
        <v>455</v>
      </c>
      <c r="D411" t="str">
        <f t="shared" si="6"/>
        <v>las</v>
      </c>
    </row>
    <row r="412" spans="1:4" x14ac:dyDescent="0.25">
      <c r="A412" t="s">
        <v>453</v>
      </c>
      <c r="B412" t="s">
        <v>2124</v>
      </c>
      <c r="C412" t="s">
        <v>456</v>
      </c>
      <c r="D412" t="str">
        <f t="shared" si="6"/>
        <v>tif</v>
      </c>
    </row>
    <row r="413" spans="1:4" x14ac:dyDescent="0.25">
      <c r="A413" t="s">
        <v>453</v>
      </c>
      <c r="B413" t="s">
        <v>2124</v>
      </c>
      <c r="C413" t="s">
        <v>457</v>
      </c>
      <c r="D413" t="str">
        <f t="shared" si="6"/>
        <v>tif</v>
      </c>
    </row>
    <row r="414" spans="1:4" x14ac:dyDescent="0.25">
      <c r="A414" t="s">
        <v>453</v>
      </c>
      <c r="B414" t="s">
        <v>2124</v>
      </c>
      <c r="C414" t="s">
        <v>458</v>
      </c>
      <c r="D414" t="str">
        <f t="shared" si="6"/>
        <v>docx</v>
      </c>
    </row>
    <row r="415" spans="1:4" x14ac:dyDescent="0.25">
      <c r="A415" t="s">
        <v>453</v>
      </c>
      <c r="B415" t="s">
        <v>2124</v>
      </c>
      <c r="C415" t="s">
        <v>459</v>
      </c>
      <c r="D415" t="str">
        <f t="shared" si="6"/>
        <v>docx</v>
      </c>
    </row>
    <row r="416" spans="1:4" x14ac:dyDescent="0.25">
      <c r="A416" t="s">
        <v>460</v>
      </c>
      <c r="B416" t="s">
        <v>2124</v>
      </c>
      <c r="C416" t="s">
        <v>461</v>
      </c>
      <c r="D416" t="str">
        <f t="shared" si="6"/>
        <v>las</v>
      </c>
    </row>
    <row r="417" spans="1:4" x14ac:dyDescent="0.25">
      <c r="A417" t="s">
        <v>460</v>
      </c>
      <c r="B417" t="s">
        <v>2124</v>
      </c>
      <c r="C417" t="s">
        <v>462</v>
      </c>
      <c r="D417" t="str">
        <f t="shared" si="6"/>
        <v>las</v>
      </c>
    </row>
    <row r="418" spans="1:4" x14ac:dyDescent="0.25">
      <c r="A418" t="s">
        <v>460</v>
      </c>
      <c r="B418" t="s">
        <v>2124</v>
      </c>
      <c r="C418" t="s">
        <v>463</v>
      </c>
      <c r="D418" t="str">
        <f t="shared" si="6"/>
        <v>las</v>
      </c>
    </row>
    <row r="419" spans="1:4" x14ac:dyDescent="0.25">
      <c r="A419" t="s">
        <v>464</v>
      </c>
      <c r="B419" t="s">
        <v>2125</v>
      </c>
      <c r="C419" t="s">
        <v>465</v>
      </c>
      <c r="D419" t="str">
        <f t="shared" si="6"/>
        <v>pdf</v>
      </c>
    </row>
    <row r="420" spans="1:4" x14ac:dyDescent="0.25">
      <c r="A420" t="s">
        <v>464</v>
      </c>
      <c r="B420" t="s">
        <v>2125</v>
      </c>
      <c r="C420" t="s">
        <v>466</v>
      </c>
      <c r="D420" t="str">
        <f t="shared" si="6"/>
        <v>pdf</v>
      </c>
    </row>
    <row r="421" spans="1:4" x14ac:dyDescent="0.25">
      <c r="A421" t="s">
        <v>464</v>
      </c>
      <c r="B421" t="s">
        <v>2125</v>
      </c>
      <c r="C421" t="s">
        <v>467</v>
      </c>
      <c r="D421" t="str">
        <f t="shared" si="6"/>
        <v>jpg</v>
      </c>
    </row>
    <row r="422" spans="1:4" x14ac:dyDescent="0.25">
      <c r="A422" t="s">
        <v>464</v>
      </c>
      <c r="B422" t="s">
        <v>2125</v>
      </c>
      <c r="C422" t="s">
        <v>468</v>
      </c>
      <c r="D422" t="str">
        <f t="shared" si="6"/>
        <v>jpg</v>
      </c>
    </row>
    <row r="423" spans="1:4" x14ac:dyDescent="0.25">
      <c r="A423" t="s">
        <v>464</v>
      </c>
      <c r="B423" t="s">
        <v>2125</v>
      </c>
      <c r="C423" t="s">
        <v>469</v>
      </c>
      <c r="D423" t="str">
        <f t="shared" si="6"/>
        <v>jpg</v>
      </c>
    </row>
    <row r="424" spans="1:4" x14ac:dyDescent="0.25">
      <c r="A424" t="s">
        <v>464</v>
      </c>
      <c r="B424" t="s">
        <v>2125</v>
      </c>
      <c r="C424" t="s">
        <v>470</v>
      </c>
      <c r="D424" t="str">
        <f t="shared" si="6"/>
        <v>jpg</v>
      </c>
    </row>
    <row r="425" spans="1:4" x14ac:dyDescent="0.25">
      <c r="A425" t="s">
        <v>464</v>
      </c>
      <c r="B425" t="s">
        <v>2125</v>
      </c>
      <c r="C425" t="s">
        <v>471</v>
      </c>
      <c r="D425" t="str">
        <f t="shared" si="6"/>
        <v>jpg</v>
      </c>
    </row>
    <row r="426" spans="1:4" x14ac:dyDescent="0.25">
      <c r="A426" t="s">
        <v>464</v>
      </c>
      <c r="B426" t="s">
        <v>2125</v>
      </c>
      <c r="C426" t="s">
        <v>472</v>
      </c>
      <c r="D426" t="str">
        <f t="shared" si="6"/>
        <v>jpg</v>
      </c>
    </row>
    <row r="427" spans="1:4" x14ac:dyDescent="0.25">
      <c r="A427" t="s">
        <v>464</v>
      </c>
      <c r="B427" t="s">
        <v>2125</v>
      </c>
      <c r="C427" t="s">
        <v>473</v>
      </c>
      <c r="D427" t="str">
        <f t="shared" si="6"/>
        <v>jpg</v>
      </c>
    </row>
    <row r="428" spans="1:4" x14ac:dyDescent="0.25">
      <c r="A428" t="s">
        <v>464</v>
      </c>
      <c r="B428" t="s">
        <v>2125</v>
      </c>
      <c r="C428" t="s">
        <v>474</v>
      </c>
      <c r="D428" t="str">
        <f t="shared" si="6"/>
        <v>pdf</v>
      </c>
    </row>
    <row r="429" spans="1:4" x14ac:dyDescent="0.25">
      <c r="A429" t="s">
        <v>475</v>
      </c>
      <c r="B429" t="s">
        <v>2126</v>
      </c>
      <c r="C429" t="s">
        <v>476</v>
      </c>
      <c r="D429" t="str">
        <f t="shared" si="6"/>
        <v>pdf</v>
      </c>
    </row>
    <row r="430" spans="1:4" x14ac:dyDescent="0.25">
      <c r="A430" t="s">
        <v>475</v>
      </c>
      <c r="B430" t="s">
        <v>2126</v>
      </c>
      <c r="C430" t="s">
        <v>477</v>
      </c>
      <c r="D430" t="str">
        <f t="shared" si="6"/>
        <v>tif</v>
      </c>
    </row>
    <row r="431" spans="1:4" x14ac:dyDescent="0.25">
      <c r="A431" t="s">
        <v>475</v>
      </c>
      <c r="B431" t="s">
        <v>2126</v>
      </c>
      <c r="C431" t="s">
        <v>478</v>
      </c>
      <c r="D431" t="str">
        <f t="shared" si="6"/>
        <v>jpg</v>
      </c>
    </row>
    <row r="432" spans="1:4" x14ac:dyDescent="0.25">
      <c r="A432" t="s">
        <v>479</v>
      </c>
      <c r="B432" t="s">
        <v>2127</v>
      </c>
      <c r="C432" t="s">
        <v>480</v>
      </c>
      <c r="D432" t="str">
        <f t="shared" si="6"/>
        <v>pdf</v>
      </c>
    </row>
    <row r="433" spans="1:4" x14ac:dyDescent="0.25">
      <c r="A433" t="s">
        <v>479</v>
      </c>
      <c r="B433" t="s">
        <v>2127</v>
      </c>
      <c r="C433" t="s">
        <v>481</v>
      </c>
      <c r="D433" t="str">
        <f t="shared" si="6"/>
        <v>tif</v>
      </c>
    </row>
    <row r="434" spans="1:4" x14ac:dyDescent="0.25">
      <c r="A434" t="s">
        <v>479</v>
      </c>
      <c r="B434" t="s">
        <v>2127</v>
      </c>
      <c r="C434" t="s">
        <v>482</v>
      </c>
      <c r="D434" t="str">
        <f t="shared" si="6"/>
        <v>jpg</v>
      </c>
    </row>
    <row r="435" spans="1:4" x14ac:dyDescent="0.25">
      <c r="A435" t="s">
        <v>479</v>
      </c>
      <c r="B435" t="s">
        <v>2127</v>
      </c>
      <c r="C435" t="s">
        <v>483</v>
      </c>
      <c r="D435" t="str">
        <f t="shared" si="6"/>
        <v>tif</v>
      </c>
    </row>
    <row r="436" spans="1:4" x14ac:dyDescent="0.25">
      <c r="A436" t="s">
        <v>484</v>
      </c>
      <c r="B436" t="s">
        <v>2128</v>
      </c>
      <c r="C436" t="s">
        <v>485</v>
      </c>
      <c r="D436" t="str">
        <f t="shared" si="6"/>
        <v>las</v>
      </c>
    </row>
    <row r="437" spans="1:4" x14ac:dyDescent="0.25">
      <c r="A437" t="s">
        <v>484</v>
      </c>
      <c r="B437" t="s">
        <v>2128</v>
      </c>
      <c r="C437" t="s">
        <v>486</v>
      </c>
      <c r="D437" t="str">
        <f t="shared" si="6"/>
        <v>las</v>
      </c>
    </row>
    <row r="438" spans="1:4" x14ac:dyDescent="0.25">
      <c r="A438" t="s">
        <v>484</v>
      </c>
      <c r="B438" t="s">
        <v>2128</v>
      </c>
      <c r="C438" t="s">
        <v>487</v>
      </c>
      <c r="D438" t="str">
        <f t="shared" si="6"/>
        <v>pdf</v>
      </c>
    </row>
    <row r="439" spans="1:4" x14ac:dyDescent="0.25">
      <c r="A439" t="s">
        <v>484</v>
      </c>
      <c r="B439" t="s">
        <v>2128</v>
      </c>
      <c r="C439" t="s">
        <v>488</v>
      </c>
      <c r="D439" t="str">
        <f t="shared" si="6"/>
        <v>sdg</v>
      </c>
    </row>
    <row r="440" spans="1:4" x14ac:dyDescent="0.25">
      <c r="A440" t="s">
        <v>484</v>
      </c>
      <c r="B440" t="s">
        <v>2128</v>
      </c>
      <c r="C440" t="s">
        <v>489</v>
      </c>
      <c r="D440" t="str">
        <f t="shared" si="6"/>
        <v>xlsx</v>
      </c>
    </row>
    <row r="441" spans="1:4" x14ac:dyDescent="0.25">
      <c r="A441" t="s">
        <v>490</v>
      </c>
      <c r="B441" t="s">
        <v>2129</v>
      </c>
      <c r="C441" t="s">
        <v>491</v>
      </c>
      <c r="D441" t="str">
        <f t="shared" si="6"/>
        <v>pdf</v>
      </c>
    </row>
    <row r="442" spans="1:4" x14ac:dyDescent="0.25">
      <c r="A442" t="s">
        <v>490</v>
      </c>
      <c r="B442" t="s">
        <v>2129</v>
      </c>
      <c r="C442" t="s">
        <v>492</v>
      </c>
      <c r="D442" t="str">
        <f t="shared" si="6"/>
        <v>sdg</v>
      </c>
    </row>
    <row r="443" spans="1:4" x14ac:dyDescent="0.25">
      <c r="A443" t="s">
        <v>490</v>
      </c>
      <c r="B443" t="s">
        <v>2129</v>
      </c>
      <c r="C443" t="s">
        <v>493</v>
      </c>
      <c r="D443" t="str">
        <f t="shared" si="6"/>
        <v>xlsx</v>
      </c>
    </row>
    <row r="444" spans="1:4" x14ac:dyDescent="0.25">
      <c r="A444" t="s">
        <v>494</v>
      </c>
      <c r="B444" t="s">
        <v>2129</v>
      </c>
      <c r="C444" t="s">
        <v>495</v>
      </c>
      <c r="D444" t="str">
        <f t="shared" si="6"/>
        <v>las</v>
      </c>
    </row>
    <row r="445" spans="1:4" x14ac:dyDescent="0.25">
      <c r="A445" t="s">
        <v>494</v>
      </c>
      <c r="B445" t="s">
        <v>2129</v>
      </c>
      <c r="C445" t="s">
        <v>496</v>
      </c>
      <c r="D445" t="str">
        <f t="shared" si="6"/>
        <v>las</v>
      </c>
    </row>
    <row r="446" spans="1:4" x14ac:dyDescent="0.25">
      <c r="A446" t="s">
        <v>494</v>
      </c>
      <c r="B446" t="s">
        <v>2129</v>
      </c>
      <c r="C446" t="s">
        <v>497</v>
      </c>
      <c r="D446" t="str">
        <f t="shared" si="6"/>
        <v>tif</v>
      </c>
    </row>
    <row r="447" spans="1:4" x14ac:dyDescent="0.25">
      <c r="A447" t="s">
        <v>494</v>
      </c>
      <c r="B447" t="s">
        <v>2129</v>
      </c>
      <c r="C447" t="s">
        <v>498</v>
      </c>
      <c r="D447" t="str">
        <f t="shared" si="6"/>
        <v>tif</v>
      </c>
    </row>
    <row r="448" spans="1:4" x14ac:dyDescent="0.25">
      <c r="A448" t="s">
        <v>494</v>
      </c>
      <c r="B448" t="s">
        <v>2129</v>
      </c>
      <c r="C448" t="s">
        <v>499</v>
      </c>
      <c r="D448" t="str">
        <f t="shared" si="6"/>
        <v>docx</v>
      </c>
    </row>
    <row r="449" spans="1:4" x14ac:dyDescent="0.25">
      <c r="A449" t="s">
        <v>494</v>
      </c>
      <c r="B449" t="s">
        <v>2129</v>
      </c>
      <c r="C449" t="s">
        <v>500</v>
      </c>
      <c r="D449" t="str">
        <f t="shared" si="6"/>
        <v>docx</v>
      </c>
    </row>
    <row r="450" spans="1:4" x14ac:dyDescent="0.25">
      <c r="A450" t="s">
        <v>501</v>
      </c>
      <c r="B450" t="s">
        <v>2129</v>
      </c>
      <c r="C450" t="s">
        <v>502</v>
      </c>
      <c r="D450" t="str">
        <f t="shared" si="6"/>
        <v>las</v>
      </c>
    </row>
    <row r="451" spans="1:4" x14ac:dyDescent="0.25">
      <c r="A451" t="s">
        <v>501</v>
      </c>
      <c r="B451" t="s">
        <v>2129</v>
      </c>
      <c r="C451" t="s">
        <v>503</v>
      </c>
      <c r="D451" t="str">
        <f t="shared" ref="D451:D514" si="7">IF(ISNUMBER(SEARCH(".pdf",C451)),"pdf",IF(ISNUMBER(SEARCH(".tif",C451)),"tif",IF(ISNUMBER(SEARCH(".las",C451)),"las",IF(ISNUMBER(SEARCH(".sdg",C451)),"sdg",IF(ISNUMBER(SEARCH(".xlsx",C451)),"xlsx",IF(ISNUMBER(SEARCH(".docx",C451)),"docx",IF(ISNUMBER(SEARCH(".rhistory",C451)),"rhistory",IF(ISNUMBER(SEARCH(".db",C451)),"db",IF(ISNUMBER(SEARCH(".jpg",C451)),"jpg",IF(ISNUMBER(SEARCH(".png",C451)),"png",IF(ISNUMBER(SEARCH(".mdb",C451)),"mdb",IF(ISNUMBER(SEARCH(".xml",C451)),"xml",IF(ISNUMBER(SEARCH(".xls",C451)),"xls",IF(ISNUMBER(SEARCH(".txt",C451)),"txt",IF(ISNUMBER(SEARCH(".tsf",C451)),"tsf",IF(ISNUMBER(SEARCH(".sch",C451)),"sch","ZIP oder R"))))))))))))))))</f>
        <v>las</v>
      </c>
    </row>
    <row r="452" spans="1:4" x14ac:dyDescent="0.25">
      <c r="A452" t="s">
        <v>501</v>
      </c>
      <c r="B452" t="s">
        <v>2129</v>
      </c>
      <c r="C452" t="s">
        <v>504</v>
      </c>
      <c r="D452" t="str">
        <f t="shared" si="7"/>
        <v>las</v>
      </c>
    </row>
    <row r="453" spans="1:4" x14ac:dyDescent="0.25">
      <c r="A453" t="s">
        <v>505</v>
      </c>
      <c r="B453" t="s">
        <v>2130</v>
      </c>
      <c r="C453" t="s">
        <v>506</v>
      </c>
      <c r="D453" t="str">
        <f t="shared" si="7"/>
        <v>pdf</v>
      </c>
    </row>
    <row r="454" spans="1:4" x14ac:dyDescent="0.25">
      <c r="A454" t="s">
        <v>505</v>
      </c>
      <c r="B454" t="s">
        <v>2130</v>
      </c>
      <c r="C454" t="s">
        <v>507</v>
      </c>
      <c r="D454" t="str">
        <f t="shared" si="7"/>
        <v>sdg</v>
      </c>
    </row>
    <row r="455" spans="1:4" x14ac:dyDescent="0.25">
      <c r="A455" t="s">
        <v>505</v>
      </c>
      <c r="B455" t="s">
        <v>2130</v>
      </c>
      <c r="C455" t="s">
        <v>508</v>
      </c>
      <c r="D455" t="str">
        <f t="shared" si="7"/>
        <v>xlsx</v>
      </c>
    </row>
    <row r="456" spans="1:4" x14ac:dyDescent="0.25">
      <c r="A456" t="s">
        <v>509</v>
      </c>
      <c r="B456" t="s">
        <v>2130</v>
      </c>
      <c r="C456" t="s">
        <v>510</v>
      </c>
      <c r="D456" t="str">
        <f t="shared" si="7"/>
        <v>las</v>
      </c>
    </row>
    <row r="457" spans="1:4" x14ac:dyDescent="0.25">
      <c r="A457" t="s">
        <v>509</v>
      </c>
      <c r="B457" t="s">
        <v>2130</v>
      </c>
      <c r="C457" t="s">
        <v>511</v>
      </c>
      <c r="D457" t="str">
        <f t="shared" si="7"/>
        <v>las</v>
      </c>
    </row>
    <row r="458" spans="1:4" x14ac:dyDescent="0.25">
      <c r="A458" t="s">
        <v>509</v>
      </c>
      <c r="B458" t="s">
        <v>2130</v>
      </c>
      <c r="C458" t="s">
        <v>512</v>
      </c>
      <c r="D458" t="str">
        <f t="shared" si="7"/>
        <v>tif</v>
      </c>
    </row>
    <row r="459" spans="1:4" x14ac:dyDescent="0.25">
      <c r="A459" t="s">
        <v>509</v>
      </c>
      <c r="B459" t="s">
        <v>2130</v>
      </c>
      <c r="C459" t="s">
        <v>513</v>
      </c>
      <c r="D459" t="str">
        <f t="shared" si="7"/>
        <v>tif</v>
      </c>
    </row>
    <row r="460" spans="1:4" x14ac:dyDescent="0.25">
      <c r="A460" t="s">
        <v>509</v>
      </c>
      <c r="B460" t="s">
        <v>2130</v>
      </c>
      <c r="C460" t="s">
        <v>514</v>
      </c>
      <c r="D460" t="str">
        <f t="shared" si="7"/>
        <v>docx</v>
      </c>
    </row>
    <row r="461" spans="1:4" x14ac:dyDescent="0.25">
      <c r="A461" t="s">
        <v>509</v>
      </c>
      <c r="B461" t="s">
        <v>2130</v>
      </c>
      <c r="C461" t="s">
        <v>515</v>
      </c>
      <c r="D461" t="str">
        <f t="shared" si="7"/>
        <v>docx</v>
      </c>
    </row>
    <row r="462" spans="1:4" x14ac:dyDescent="0.25">
      <c r="A462" t="s">
        <v>516</v>
      </c>
      <c r="B462" t="s">
        <v>2130</v>
      </c>
      <c r="C462" t="s">
        <v>517</v>
      </c>
      <c r="D462" t="str">
        <f t="shared" si="7"/>
        <v>las</v>
      </c>
    </row>
    <row r="463" spans="1:4" x14ac:dyDescent="0.25">
      <c r="A463" t="s">
        <v>516</v>
      </c>
      <c r="B463" t="s">
        <v>2130</v>
      </c>
      <c r="C463" t="s">
        <v>518</v>
      </c>
      <c r="D463" t="str">
        <f t="shared" si="7"/>
        <v>las</v>
      </c>
    </row>
    <row r="464" spans="1:4" x14ac:dyDescent="0.25">
      <c r="A464" t="s">
        <v>516</v>
      </c>
      <c r="B464" t="s">
        <v>2130</v>
      </c>
      <c r="C464" t="s">
        <v>519</v>
      </c>
      <c r="D464" t="str">
        <f t="shared" si="7"/>
        <v>las</v>
      </c>
    </row>
    <row r="465" spans="1:4" x14ac:dyDescent="0.25">
      <c r="A465" t="s">
        <v>516</v>
      </c>
      <c r="B465" t="s">
        <v>2130</v>
      </c>
      <c r="C465" t="s">
        <v>520</v>
      </c>
      <c r="D465" t="str">
        <f t="shared" si="7"/>
        <v>las</v>
      </c>
    </row>
    <row r="466" spans="1:4" x14ac:dyDescent="0.25">
      <c r="A466" t="s">
        <v>521</v>
      </c>
      <c r="B466" t="s">
        <v>2131</v>
      </c>
      <c r="C466" t="s">
        <v>522</v>
      </c>
      <c r="D466" t="str">
        <f t="shared" si="7"/>
        <v>pdf</v>
      </c>
    </row>
    <row r="467" spans="1:4" x14ac:dyDescent="0.25">
      <c r="A467" t="s">
        <v>521</v>
      </c>
      <c r="B467" t="s">
        <v>2131</v>
      </c>
      <c r="C467" t="s">
        <v>523</v>
      </c>
      <c r="D467" t="str">
        <f t="shared" si="7"/>
        <v>pdf</v>
      </c>
    </row>
    <row r="468" spans="1:4" x14ac:dyDescent="0.25">
      <c r="A468" t="s">
        <v>521</v>
      </c>
      <c r="B468" t="s">
        <v>2131</v>
      </c>
      <c r="C468" t="s">
        <v>524</v>
      </c>
      <c r="D468" t="str">
        <f t="shared" si="7"/>
        <v>pdf</v>
      </c>
    </row>
    <row r="469" spans="1:4" x14ac:dyDescent="0.25">
      <c r="A469" t="s">
        <v>521</v>
      </c>
      <c r="B469" t="s">
        <v>2131</v>
      </c>
      <c r="C469" t="s">
        <v>525</v>
      </c>
      <c r="D469" t="str">
        <f t="shared" si="7"/>
        <v>pdf</v>
      </c>
    </row>
    <row r="470" spans="1:4" x14ac:dyDescent="0.25">
      <c r="A470" t="s">
        <v>521</v>
      </c>
      <c r="B470" t="s">
        <v>2131</v>
      </c>
      <c r="C470" t="s">
        <v>526</v>
      </c>
      <c r="D470" t="str">
        <f t="shared" si="7"/>
        <v>pdf</v>
      </c>
    </row>
    <row r="471" spans="1:4" x14ac:dyDescent="0.25">
      <c r="A471" t="s">
        <v>521</v>
      </c>
      <c r="B471" t="s">
        <v>2131</v>
      </c>
      <c r="C471" t="s">
        <v>527</v>
      </c>
      <c r="D471" t="str">
        <f t="shared" si="7"/>
        <v>pdf</v>
      </c>
    </row>
    <row r="472" spans="1:4" x14ac:dyDescent="0.25">
      <c r="A472" t="s">
        <v>521</v>
      </c>
      <c r="B472" t="s">
        <v>2131</v>
      </c>
      <c r="C472" t="s">
        <v>528</v>
      </c>
      <c r="D472" t="str">
        <f t="shared" si="7"/>
        <v>las</v>
      </c>
    </row>
    <row r="473" spans="1:4" x14ac:dyDescent="0.25">
      <c r="A473" t="s">
        <v>521</v>
      </c>
      <c r="B473" t="s">
        <v>2131</v>
      </c>
      <c r="C473" t="s">
        <v>529</v>
      </c>
      <c r="D473" t="str">
        <f t="shared" si="7"/>
        <v>sdg</v>
      </c>
    </row>
    <row r="474" spans="1:4" x14ac:dyDescent="0.25">
      <c r="A474" t="s">
        <v>521</v>
      </c>
      <c r="B474" t="s">
        <v>2131</v>
      </c>
      <c r="C474" t="s">
        <v>530</v>
      </c>
      <c r="D474" t="str">
        <f t="shared" si="7"/>
        <v>xlsx</v>
      </c>
    </row>
    <row r="475" spans="1:4" x14ac:dyDescent="0.25">
      <c r="A475" t="s">
        <v>521</v>
      </c>
      <c r="B475" t="s">
        <v>2131</v>
      </c>
      <c r="C475" t="s">
        <v>531</v>
      </c>
      <c r="D475" t="str">
        <f t="shared" si="7"/>
        <v>pdf</v>
      </c>
    </row>
    <row r="476" spans="1:4" x14ac:dyDescent="0.25">
      <c r="A476" t="s">
        <v>532</v>
      </c>
      <c r="B476" t="s">
        <v>2132</v>
      </c>
      <c r="C476" t="s">
        <v>533</v>
      </c>
      <c r="D476" t="str">
        <f t="shared" si="7"/>
        <v>pdf</v>
      </c>
    </row>
    <row r="477" spans="1:4" x14ac:dyDescent="0.25">
      <c r="A477" t="s">
        <v>532</v>
      </c>
      <c r="B477" t="s">
        <v>2132</v>
      </c>
      <c r="C477" t="s">
        <v>534</v>
      </c>
      <c r="D477" t="str">
        <f t="shared" si="7"/>
        <v>pdf</v>
      </c>
    </row>
    <row r="478" spans="1:4" x14ac:dyDescent="0.25">
      <c r="A478" t="s">
        <v>532</v>
      </c>
      <c r="B478" t="s">
        <v>2132</v>
      </c>
      <c r="C478" t="s">
        <v>535</v>
      </c>
      <c r="D478" t="str">
        <f t="shared" si="7"/>
        <v>pdf</v>
      </c>
    </row>
    <row r="479" spans="1:4" x14ac:dyDescent="0.25">
      <c r="A479" t="s">
        <v>532</v>
      </c>
      <c r="B479" t="s">
        <v>2132</v>
      </c>
      <c r="C479" t="s">
        <v>536</v>
      </c>
      <c r="D479" t="str">
        <f t="shared" si="7"/>
        <v>pdf</v>
      </c>
    </row>
    <row r="480" spans="1:4" x14ac:dyDescent="0.25">
      <c r="A480" t="s">
        <v>532</v>
      </c>
      <c r="B480" t="s">
        <v>2132</v>
      </c>
      <c r="C480" t="s">
        <v>537</v>
      </c>
      <c r="D480" t="str">
        <f t="shared" si="7"/>
        <v>pdf</v>
      </c>
    </row>
    <row r="481" spans="1:4" x14ac:dyDescent="0.25">
      <c r="A481" t="s">
        <v>538</v>
      </c>
      <c r="B481" t="s">
        <v>2133</v>
      </c>
      <c r="C481" t="s">
        <v>539</v>
      </c>
      <c r="D481" t="str">
        <f t="shared" si="7"/>
        <v>pdf</v>
      </c>
    </row>
    <row r="482" spans="1:4" x14ac:dyDescent="0.25">
      <c r="A482" t="s">
        <v>538</v>
      </c>
      <c r="B482" t="s">
        <v>2133</v>
      </c>
      <c r="C482" t="s">
        <v>540</v>
      </c>
      <c r="D482" t="str">
        <f t="shared" si="7"/>
        <v>pdf</v>
      </c>
    </row>
    <row r="483" spans="1:4" x14ac:dyDescent="0.25">
      <c r="A483" t="s">
        <v>541</v>
      </c>
      <c r="B483" t="s">
        <v>2134</v>
      </c>
      <c r="C483" t="s">
        <v>542</v>
      </c>
      <c r="D483" t="str">
        <f t="shared" si="7"/>
        <v>las</v>
      </c>
    </row>
    <row r="484" spans="1:4" x14ac:dyDescent="0.25">
      <c r="A484" t="s">
        <v>541</v>
      </c>
      <c r="B484" t="s">
        <v>2134</v>
      </c>
      <c r="C484" t="s">
        <v>543</v>
      </c>
      <c r="D484" t="str">
        <f t="shared" si="7"/>
        <v>las</v>
      </c>
    </row>
    <row r="485" spans="1:4" x14ac:dyDescent="0.25">
      <c r="A485" t="s">
        <v>541</v>
      </c>
      <c r="B485" t="s">
        <v>2134</v>
      </c>
      <c r="C485" t="s">
        <v>544</v>
      </c>
      <c r="D485" t="str">
        <f t="shared" si="7"/>
        <v>las</v>
      </c>
    </row>
    <row r="486" spans="1:4" x14ac:dyDescent="0.25">
      <c r="A486" t="s">
        <v>541</v>
      </c>
      <c r="B486" t="s">
        <v>2134</v>
      </c>
      <c r="C486" t="s">
        <v>545</v>
      </c>
      <c r="D486" t="str">
        <f t="shared" si="7"/>
        <v>las</v>
      </c>
    </row>
    <row r="487" spans="1:4" x14ac:dyDescent="0.25">
      <c r="A487" t="s">
        <v>541</v>
      </c>
      <c r="B487" t="s">
        <v>2134</v>
      </c>
      <c r="C487" t="s">
        <v>546</v>
      </c>
      <c r="D487" t="str">
        <f t="shared" si="7"/>
        <v>sdg</v>
      </c>
    </row>
    <row r="488" spans="1:4" x14ac:dyDescent="0.25">
      <c r="A488" t="s">
        <v>541</v>
      </c>
      <c r="B488" t="s">
        <v>2134</v>
      </c>
      <c r="C488" t="s">
        <v>547</v>
      </c>
      <c r="D488" t="str">
        <f t="shared" si="7"/>
        <v>xlsx</v>
      </c>
    </row>
    <row r="489" spans="1:4" x14ac:dyDescent="0.25">
      <c r="A489" t="s">
        <v>548</v>
      </c>
      <c r="B489" t="s">
        <v>2135</v>
      </c>
      <c r="C489" t="s">
        <v>549</v>
      </c>
      <c r="D489" t="str">
        <f t="shared" si="7"/>
        <v>las</v>
      </c>
    </row>
    <row r="490" spans="1:4" x14ac:dyDescent="0.25">
      <c r="A490" t="s">
        <v>548</v>
      </c>
      <c r="B490" t="s">
        <v>2135</v>
      </c>
      <c r="C490" t="s">
        <v>550</v>
      </c>
      <c r="D490" t="str">
        <f t="shared" si="7"/>
        <v>las</v>
      </c>
    </row>
    <row r="491" spans="1:4" x14ac:dyDescent="0.25">
      <c r="A491" t="s">
        <v>548</v>
      </c>
      <c r="B491" t="s">
        <v>2135</v>
      </c>
      <c r="C491" t="s">
        <v>551</v>
      </c>
      <c r="D491" t="str">
        <f t="shared" si="7"/>
        <v>sdg</v>
      </c>
    </row>
    <row r="492" spans="1:4" x14ac:dyDescent="0.25">
      <c r="A492" t="s">
        <v>548</v>
      </c>
      <c r="B492" t="s">
        <v>2135</v>
      </c>
      <c r="C492" t="s">
        <v>552</v>
      </c>
      <c r="D492" t="str">
        <f t="shared" si="7"/>
        <v>xlsx</v>
      </c>
    </row>
    <row r="493" spans="1:4" x14ac:dyDescent="0.25">
      <c r="A493" t="s">
        <v>553</v>
      </c>
      <c r="B493" t="s">
        <v>2136</v>
      </c>
      <c r="C493" t="s">
        <v>554</v>
      </c>
      <c r="D493" t="str">
        <f t="shared" si="7"/>
        <v>las</v>
      </c>
    </row>
    <row r="494" spans="1:4" x14ac:dyDescent="0.25">
      <c r="A494" t="s">
        <v>553</v>
      </c>
      <c r="B494" t="s">
        <v>2136</v>
      </c>
      <c r="C494" t="s">
        <v>555</v>
      </c>
      <c r="D494" t="str">
        <f t="shared" si="7"/>
        <v>las</v>
      </c>
    </row>
    <row r="495" spans="1:4" x14ac:dyDescent="0.25">
      <c r="A495" t="s">
        <v>553</v>
      </c>
      <c r="B495" t="s">
        <v>2136</v>
      </c>
      <c r="C495" t="s">
        <v>556</v>
      </c>
      <c r="D495" t="str">
        <f t="shared" si="7"/>
        <v>sdg</v>
      </c>
    </row>
    <row r="496" spans="1:4" x14ac:dyDescent="0.25">
      <c r="A496" t="s">
        <v>553</v>
      </c>
      <c r="B496" t="s">
        <v>2136</v>
      </c>
      <c r="C496" t="s">
        <v>557</v>
      </c>
      <c r="D496" t="str">
        <f t="shared" si="7"/>
        <v>xlsx</v>
      </c>
    </row>
    <row r="497" spans="1:4" x14ac:dyDescent="0.25">
      <c r="A497" t="s">
        <v>558</v>
      </c>
      <c r="B497" t="s">
        <v>2137</v>
      </c>
      <c r="C497" t="s">
        <v>559</v>
      </c>
      <c r="D497" t="str">
        <f t="shared" si="7"/>
        <v>tif</v>
      </c>
    </row>
    <row r="498" spans="1:4" x14ac:dyDescent="0.25">
      <c r="A498" t="s">
        <v>558</v>
      </c>
      <c r="B498" t="s">
        <v>2137</v>
      </c>
      <c r="C498" t="s">
        <v>560</v>
      </c>
      <c r="D498" t="str">
        <f t="shared" si="7"/>
        <v>tif</v>
      </c>
    </row>
    <row r="499" spans="1:4" x14ac:dyDescent="0.25">
      <c r="A499" t="s">
        <v>558</v>
      </c>
      <c r="B499" t="s">
        <v>2137</v>
      </c>
      <c r="C499" t="s">
        <v>561</v>
      </c>
      <c r="D499" t="str">
        <f t="shared" si="7"/>
        <v>tif</v>
      </c>
    </row>
    <row r="500" spans="1:4" x14ac:dyDescent="0.25">
      <c r="A500" t="s">
        <v>558</v>
      </c>
      <c r="B500" t="s">
        <v>2137</v>
      </c>
      <c r="C500" t="s">
        <v>562</v>
      </c>
      <c r="D500" t="str">
        <f t="shared" si="7"/>
        <v>tif</v>
      </c>
    </row>
    <row r="501" spans="1:4" x14ac:dyDescent="0.25">
      <c r="A501" t="s">
        <v>563</v>
      </c>
      <c r="B501" t="s">
        <v>2137</v>
      </c>
      <c r="C501" t="s">
        <v>564</v>
      </c>
      <c r="D501" t="str">
        <f t="shared" si="7"/>
        <v>pdf</v>
      </c>
    </row>
    <row r="502" spans="1:4" x14ac:dyDescent="0.25">
      <c r="A502" t="s">
        <v>565</v>
      </c>
      <c r="B502" t="s">
        <v>2138</v>
      </c>
      <c r="C502" t="s">
        <v>566</v>
      </c>
      <c r="D502" t="str">
        <f t="shared" si="7"/>
        <v>pdf</v>
      </c>
    </row>
    <row r="503" spans="1:4" x14ac:dyDescent="0.25">
      <c r="A503" t="s">
        <v>565</v>
      </c>
      <c r="B503" t="s">
        <v>2138</v>
      </c>
      <c r="C503" t="s">
        <v>567</v>
      </c>
      <c r="D503" t="str">
        <f t="shared" si="7"/>
        <v>xls</v>
      </c>
    </row>
    <row r="504" spans="1:4" x14ac:dyDescent="0.25">
      <c r="A504" t="s">
        <v>565</v>
      </c>
      <c r="B504" t="s">
        <v>2138</v>
      </c>
      <c r="C504" t="s">
        <v>568</v>
      </c>
      <c r="D504" t="str">
        <f t="shared" si="7"/>
        <v>jpg</v>
      </c>
    </row>
    <row r="505" spans="1:4" x14ac:dyDescent="0.25">
      <c r="A505" t="s">
        <v>565</v>
      </c>
      <c r="B505" t="s">
        <v>2138</v>
      </c>
      <c r="C505" t="s">
        <v>569</v>
      </c>
      <c r="D505" t="str">
        <f t="shared" si="7"/>
        <v>jpg</v>
      </c>
    </row>
    <row r="506" spans="1:4" x14ac:dyDescent="0.25">
      <c r="A506" t="s">
        <v>565</v>
      </c>
      <c r="B506" t="s">
        <v>2138</v>
      </c>
      <c r="C506" t="s">
        <v>570</v>
      </c>
      <c r="D506" t="str">
        <f t="shared" si="7"/>
        <v>jpg</v>
      </c>
    </row>
    <row r="507" spans="1:4" x14ac:dyDescent="0.25">
      <c r="A507" t="s">
        <v>565</v>
      </c>
      <c r="B507" t="s">
        <v>2138</v>
      </c>
      <c r="C507" t="s">
        <v>571</v>
      </c>
      <c r="D507" t="str">
        <f t="shared" si="7"/>
        <v>jpg</v>
      </c>
    </row>
    <row r="508" spans="1:4" x14ac:dyDescent="0.25">
      <c r="A508" t="s">
        <v>565</v>
      </c>
      <c r="B508" t="s">
        <v>2138</v>
      </c>
      <c r="C508" t="s">
        <v>572</v>
      </c>
      <c r="D508" t="str">
        <f t="shared" si="7"/>
        <v>jpg</v>
      </c>
    </row>
    <row r="509" spans="1:4" x14ac:dyDescent="0.25">
      <c r="A509" t="s">
        <v>565</v>
      </c>
      <c r="B509" t="s">
        <v>2138</v>
      </c>
      <c r="C509" t="s">
        <v>573</v>
      </c>
      <c r="D509" t="str">
        <f t="shared" si="7"/>
        <v>jpg</v>
      </c>
    </row>
    <row r="510" spans="1:4" x14ac:dyDescent="0.25">
      <c r="A510" t="s">
        <v>565</v>
      </c>
      <c r="B510" t="s">
        <v>2138</v>
      </c>
      <c r="C510" t="s">
        <v>574</v>
      </c>
      <c r="D510" t="str">
        <f t="shared" si="7"/>
        <v>jpg</v>
      </c>
    </row>
    <row r="511" spans="1:4" x14ac:dyDescent="0.25">
      <c r="A511" t="s">
        <v>565</v>
      </c>
      <c r="B511" t="s">
        <v>2138</v>
      </c>
      <c r="C511" t="s">
        <v>575</v>
      </c>
      <c r="D511" t="str">
        <f t="shared" si="7"/>
        <v>jpg</v>
      </c>
    </row>
    <row r="512" spans="1:4" x14ac:dyDescent="0.25">
      <c r="A512" t="s">
        <v>565</v>
      </c>
      <c r="B512" t="s">
        <v>2138</v>
      </c>
      <c r="C512" t="s">
        <v>576</v>
      </c>
      <c r="D512" t="str">
        <f t="shared" si="7"/>
        <v>jpg</v>
      </c>
    </row>
    <row r="513" spans="1:4" x14ac:dyDescent="0.25">
      <c r="A513" t="s">
        <v>565</v>
      </c>
      <c r="B513" t="s">
        <v>2138</v>
      </c>
      <c r="C513" t="s">
        <v>577</v>
      </c>
      <c r="D513" t="str">
        <f t="shared" si="7"/>
        <v>jpg</v>
      </c>
    </row>
    <row r="514" spans="1:4" x14ac:dyDescent="0.25">
      <c r="A514" t="s">
        <v>565</v>
      </c>
      <c r="B514" t="s">
        <v>2138</v>
      </c>
      <c r="C514" t="s">
        <v>578</v>
      </c>
      <c r="D514" t="str">
        <f t="shared" si="7"/>
        <v>jpg</v>
      </c>
    </row>
    <row r="515" spans="1:4" x14ac:dyDescent="0.25">
      <c r="A515" t="s">
        <v>565</v>
      </c>
      <c r="B515" t="s">
        <v>2138</v>
      </c>
      <c r="C515" t="s">
        <v>579</v>
      </c>
      <c r="D515" t="str">
        <f t="shared" ref="D515:D578" si="8">IF(ISNUMBER(SEARCH(".pdf",C515)),"pdf",IF(ISNUMBER(SEARCH(".tif",C515)),"tif",IF(ISNUMBER(SEARCH(".las",C515)),"las",IF(ISNUMBER(SEARCH(".sdg",C515)),"sdg",IF(ISNUMBER(SEARCH(".xlsx",C515)),"xlsx",IF(ISNUMBER(SEARCH(".docx",C515)),"docx",IF(ISNUMBER(SEARCH(".rhistory",C515)),"rhistory",IF(ISNUMBER(SEARCH(".db",C515)),"db",IF(ISNUMBER(SEARCH(".jpg",C515)),"jpg",IF(ISNUMBER(SEARCH(".png",C515)),"png",IF(ISNUMBER(SEARCH(".mdb",C515)),"mdb",IF(ISNUMBER(SEARCH(".xml",C515)),"xml",IF(ISNUMBER(SEARCH(".xls",C515)),"xls",IF(ISNUMBER(SEARCH(".txt",C515)),"txt",IF(ISNUMBER(SEARCH(".tsf",C515)),"tsf",IF(ISNUMBER(SEARCH(".sch",C515)),"sch","ZIP oder R"))))))))))))))))</f>
        <v>jpg</v>
      </c>
    </row>
    <row r="516" spans="1:4" x14ac:dyDescent="0.25">
      <c r="A516" t="s">
        <v>565</v>
      </c>
      <c r="B516" t="s">
        <v>2138</v>
      </c>
      <c r="C516" t="s">
        <v>580</v>
      </c>
      <c r="D516" t="str">
        <f t="shared" si="8"/>
        <v>jpg</v>
      </c>
    </row>
    <row r="517" spans="1:4" x14ac:dyDescent="0.25">
      <c r="A517" t="s">
        <v>565</v>
      </c>
      <c r="B517" t="s">
        <v>2138</v>
      </c>
      <c r="C517" t="s">
        <v>581</v>
      </c>
      <c r="D517" t="str">
        <f t="shared" si="8"/>
        <v>jpg</v>
      </c>
    </row>
    <row r="518" spans="1:4" x14ac:dyDescent="0.25">
      <c r="A518" t="s">
        <v>565</v>
      </c>
      <c r="B518" t="s">
        <v>2138</v>
      </c>
      <c r="C518" t="s">
        <v>582</v>
      </c>
      <c r="D518" t="str">
        <f t="shared" si="8"/>
        <v>jpg</v>
      </c>
    </row>
    <row r="519" spans="1:4" x14ac:dyDescent="0.25">
      <c r="A519" t="s">
        <v>565</v>
      </c>
      <c r="B519" t="s">
        <v>2138</v>
      </c>
      <c r="C519" t="s">
        <v>583</v>
      </c>
      <c r="D519" t="str">
        <f t="shared" si="8"/>
        <v>jpg</v>
      </c>
    </row>
    <row r="520" spans="1:4" x14ac:dyDescent="0.25">
      <c r="A520" t="s">
        <v>565</v>
      </c>
      <c r="B520" t="s">
        <v>2138</v>
      </c>
      <c r="C520" t="s">
        <v>584</v>
      </c>
      <c r="D520" t="str">
        <f t="shared" si="8"/>
        <v>jpg</v>
      </c>
    </row>
    <row r="521" spans="1:4" x14ac:dyDescent="0.25">
      <c r="A521" t="s">
        <v>565</v>
      </c>
      <c r="B521" t="s">
        <v>2138</v>
      </c>
      <c r="C521" t="s">
        <v>585</v>
      </c>
      <c r="D521" t="str">
        <f t="shared" si="8"/>
        <v>jpg</v>
      </c>
    </row>
    <row r="522" spans="1:4" x14ac:dyDescent="0.25">
      <c r="A522" t="s">
        <v>565</v>
      </c>
      <c r="B522" t="s">
        <v>2138</v>
      </c>
      <c r="C522" t="s">
        <v>586</v>
      </c>
      <c r="D522" t="str">
        <f t="shared" si="8"/>
        <v>jpg</v>
      </c>
    </row>
    <row r="523" spans="1:4" x14ac:dyDescent="0.25">
      <c r="A523" t="s">
        <v>565</v>
      </c>
      <c r="B523" t="s">
        <v>2138</v>
      </c>
      <c r="C523" t="s">
        <v>587</v>
      </c>
      <c r="D523" t="str">
        <f t="shared" si="8"/>
        <v>jpg</v>
      </c>
    </row>
    <row r="524" spans="1:4" x14ac:dyDescent="0.25">
      <c r="A524" t="s">
        <v>565</v>
      </c>
      <c r="B524" t="s">
        <v>2138</v>
      </c>
      <c r="C524" t="s">
        <v>588</v>
      </c>
      <c r="D524" t="str">
        <f t="shared" si="8"/>
        <v>jpg</v>
      </c>
    </row>
    <row r="525" spans="1:4" x14ac:dyDescent="0.25">
      <c r="A525" t="s">
        <v>565</v>
      </c>
      <c r="B525" t="s">
        <v>2138</v>
      </c>
      <c r="C525" t="s">
        <v>589</v>
      </c>
      <c r="D525" t="str">
        <f t="shared" si="8"/>
        <v>jpg</v>
      </c>
    </row>
    <row r="526" spans="1:4" x14ac:dyDescent="0.25">
      <c r="A526" t="s">
        <v>565</v>
      </c>
      <c r="B526" t="s">
        <v>2138</v>
      </c>
      <c r="C526" t="s">
        <v>590</v>
      </c>
      <c r="D526" t="str">
        <f t="shared" si="8"/>
        <v>jpg</v>
      </c>
    </row>
    <row r="527" spans="1:4" x14ac:dyDescent="0.25">
      <c r="A527" t="s">
        <v>565</v>
      </c>
      <c r="B527" t="s">
        <v>2138</v>
      </c>
      <c r="C527" t="s">
        <v>591</v>
      </c>
      <c r="D527" t="str">
        <f t="shared" si="8"/>
        <v>jpg</v>
      </c>
    </row>
    <row r="528" spans="1:4" x14ac:dyDescent="0.25">
      <c r="A528" t="s">
        <v>565</v>
      </c>
      <c r="B528" t="s">
        <v>2138</v>
      </c>
      <c r="C528" t="s">
        <v>592</v>
      </c>
      <c r="D528" t="str">
        <f t="shared" si="8"/>
        <v>jpg</v>
      </c>
    </row>
    <row r="529" spans="1:4" x14ac:dyDescent="0.25">
      <c r="A529" t="s">
        <v>565</v>
      </c>
      <c r="B529" t="s">
        <v>2138</v>
      </c>
      <c r="C529" t="s">
        <v>593</v>
      </c>
      <c r="D529" t="str">
        <f t="shared" si="8"/>
        <v>jpg</v>
      </c>
    </row>
    <row r="530" spans="1:4" x14ac:dyDescent="0.25">
      <c r="A530" t="s">
        <v>565</v>
      </c>
      <c r="B530" t="s">
        <v>2138</v>
      </c>
      <c r="C530" t="s">
        <v>594</v>
      </c>
      <c r="D530" t="str">
        <f t="shared" si="8"/>
        <v>jpg</v>
      </c>
    </row>
    <row r="531" spans="1:4" x14ac:dyDescent="0.25">
      <c r="A531" t="s">
        <v>565</v>
      </c>
      <c r="B531" t="s">
        <v>2138</v>
      </c>
      <c r="C531" t="s">
        <v>595</v>
      </c>
      <c r="D531" t="str">
        <f t="shared" si="8"/>
        <v>jpg</v>
      </c>
    </row>
    <row r="532" spans="1:4" x14ac:dyDescent="0.25">
      <c r="A532" t="s">
        <v>565</v>
      </c>
      <c r="B532" t="s">
        <v>2138</v>
      </c>
      <c r="C532" t="s">
        <v>596</v>
      </c>
      <c r="D532" t="str">
        <f t="shared" si="8"/>
        <v>jpg</v>
      </c>
    </row>
    <row r="533" spans="1:4" x14ac:dyDescent="0.25">
      <c r="A533" t="s">
        <v>565</v>
      </c>
      <c r="B533" t="s">
        <v>2138</v>
      </c>
      <c r="C533" t="s">
        <v>597</v>
      </c>
      <c r="D533" t="str">
        <f t="shared" si="8"/>
        <v>jpg</v>
      </c>
    </row>
    <row r="534" spans="1:4" x14ac:dyDescent="0.25">
      <c r="A534" t="s">
        <v>565</v>
      </c>
      <c r="B534" t="s">
        <v>2138</v>
      </c>
      <c r="C534" t="s">
        <v>598</v>
      </c>
      <c r="D534" t="str">
        <f t="shared" si="8"/>
        <v>jpg</v>
      </c>
    </row>
    <row r="535" spans="1:4" x14ac:dyDescent="0.25">
      <c r="A535" t="s">
        <v>565</v>
      </c>
      <c r="B535" t="s">
        <v>2138</v>
      </c>
      <c r="C535" t="s">
        <v>599</v>
      </c>
      <c r="D535" t="str">
        <f t="shared" si="8"/>
        <v>jpg</v>
      </c>
    </row>
    <row r="536" spans="1:4" x14ac:dyDescent="0.25">
      <c r="A536" t="s">
        <v>565</v>
      </c>
      <c r="B536" t="s">
        <v>2138</v>
      </c>
      <c r="C536" t="s">
        <v>600</v>
      </c>
      <c r="D536" t="str">
        <f t="shared" si="8"/>
        <v>jpg</v>
      </c>
    </row>
    <row r="537" spans="1:4" x14ac:dyDescent="0.25">
      <c r="A537" t="s">
        <v>565</v>
      </c>
      <c r="B537" t="s">
        <v>2138</v>
      </c>
      <c r="C537" t="s">
        <v>601</v>
      </c>
      <c r="D537" t="str">
        <f t="shared" si="8"/>
        <v>jpg</v>
      </c>
    </row>
    <row r="538" spans="1:4" x14ac:dyDescent="0.25">
      <c r="A538" t="s">
        <v>565</v>
      </c>
      <c r="B538" t="s">
        <v>2138</v>
      </c>
      <c r="C538" t="s">
        <v>602</v>
      </c>
      <c r="D538" t="str">
        <f t="shared" si="8"/>
        <v>jpg</v>
      </c>
    </row>
    <row r="539" spans="1:4" x14ac:dyDescent="0.25">
      <c r="A539" t="s">
        <v>565</v>
      </c>
      <c r="B539" t="s">
        <v>2138</v>
      </c>
      <c r="C539" t="s">
        <v>603</v>
      </c>
      <c r="D539" t="str">
        <f t="shared" si="8"/>
        <v>jpg</v>
      </c>
    </row>
    <row r="540" spans="1:4" x14ac:dyDescent="0.25">
      <c r="A540" t="s">
        <v>565</v>
      </c>
      <c r="B540" t="s">
        <v>2138</v>
      </c>
      <c r="C540" t="s">
        <v>604</v>
      </c>
      <c r="D540" t="str">
        <f t="shared" si="8"/>
        <v>jpg</v>
      </c>
    </row>
    <row r="541" spans="1:4" x14ac:dyDescent="0.25">
      <c r="A541" t="s">
        <v>565</v>
      </c>
      <c r="B541" t="s">
        <v>2138</v>
      </c>
      <c r="C541" t="s">
        <v>605</v>
      </c>
      <c r="D541" t="str">
        <f t="shared" si="8"/>
        <v>jpg</v>
      </c>
    </row>
    <row r="542" spans="1:4" x14ac:dyDescent="0.25">
      <c r="A542" t="s">
        <v>565</v>
      </c>
      <c r="B542" t="s">
        <v>2138</v>
      </c>
      <c r="C542" t="s">
        <v>606</v>
      </c>
      <c r="D542" t="str">
        <f t="shared" si="8"/>
        <v>jpg</v>
      </c>
    </row>
    <row r="543" spans="1:4" x14ac:dyDescent="0.25">
      <c r="A543" t="s">
        <v>565</v>
      </c>
      <c r="B543" t="s">
        <v>2138</v>
      </c>
      <c r="C543" t="s">
        <v>607</v>
      </c>
      <c r="D543" t="str">
        <f t="shared" si="8"/>
        <v>jpg</v>
      </c>
    </row>
    <row r="544" spans="1:4" x14ac:dyDescent="0.25">
      <c r="A544" t="s">
        <v>565</v>
      </c>
      <c r="B544" t="s">
        <v>2138</v>
      </c>
      <c r="C544" t="s">
        <v>608</v>
      </c>
      <c r="D544" t="str">
        <f t="shared" si="8"/>
        <v>jpg</v>
      </c>
    </row>
    <row r="545" spans="1:4" x14ac:dyDescent="0.25">
      <c r="A545" t="s">
        <v>565</v>
      </c>
      <c r="B545" t="s">
        <v>2138</v>
      </c>
      <c r="C545" t="s">
        <v>609</v>
      </c>
      <c r="D545" t="str">
        <f t="shared" si="8"/>
        <v>jpg</v>
      </c>
    </row>
    <row r="546" spans="1:4" x14ac:dyDescent="0.25">
      <c r="A546" t="s">
        <v>565</v>
      </c>
      <c r="B546" t="s">
        <v>2138</v>
      </c>
      <c r="C546" t="s">
        <v>610</v>
      </c>
      <c r="D546" t="str">
        <f t="shared" si="8"/>
        <v>jpg</v>
      </c>
    </row>
    <row r="547" spans="1:4" x14ac:dyDescent="0.25">
      <c r="A547" t="s">
        <v>565</v>
      </c>
      <c r="B547" t="s">
        <v>2138</v>
      </c>
      <c r="C547" t="s">
        <v>611</v>
      </c>
      <c r="D547" t="str">
        <f t="shared" si="8"/>
        <v>jpg</v>
      </c>
    </row>
    <row r="548" spans="1:4" x14ac:dyDescent="0.25">
      <c r="A548" t="s">
        <v>565</v>
      </c>
      <c r="B548" t="s">
        <v>2138</v>
      </c>
      <c r="C548" t="s">
        <v>612</v>
      </c>
      <c r="D548" t="str">
        <f t="shared" si="8"/>
        <v>jpg</v>
      </c>
    </row>
    <row r="549" spans="1:4" x14ac:dyDescent="0.25">
      <c r="A549" t="s">
        <v>565</v>
      </c>
      <c r="B549" t="s">
        <v>2138</v>
      </c>
      <c r="C549" t="s">
        <v>613</v>
      </c>
      <c r="D549" t="str">
        <f t="shared" si="8"/>
        <v>jpg</v>
      </c>
    </row>
    <row r="550" spans="1:4" x14ac:dyDescent="0.25">
      <c r="A550" t="s">
        <v>565</v>
      </c>
      <c r="B550" t="s">
        <v>2138</v>
      </c>
      <c r="C550" t="s">
        <v>614</v>
      </c>
      <c r="D550" t="str">
        <f t="shared" si="8"/>
        <v>jpg</v>
      </c>
    </row>
    <row r="551" spans="1:4" x14ac:dyDescent="0.25">
      <c r="A551" t="s">
        <v>565</v>
      </c>
      <c r="B551" t="s">
        <v>2138</v>
      </c>
      <c r="C551" t="s">
        <v>615</v>
      </c>
      <c r="D551" t="str">
        <f t="shared" si="8"/>
        <v>jpg</v>
      </c>
    </row>
    <row r="552" spans="1:4" x14ac:dyDescent="0.25">
      <c r="A552" t="s">
        <v>565</v>
      </c>
      <c r="B552" t="s">
        <v>2138</v>
      </c>
      <c r="C552" t="s">
        <v>616</v>
      </c>
      <c r="D552" t="str">
        <f t="shared" si="8"/>
        <v>jpg</v>
      </c>
    </row>
    <row r="553" spans="1:4" x14ac:dyDescent="0.25">
      <c r="A553" t="s">
        <v>565</v>
      </c>
      <c r="B553" t="s">
        <v>2138</v>
      </c>
      <c r="C553" t="s">
        <v>617</v>
      </c>
      <c r="D553" t="str">
        <f t="shared" si="8"/>
        <v>jpg</v>
      </c>
    </row>
    <row r="554" spans="1:4" x14ac:dyDescent="0.25">
      <c r="A554" t="s">
        <v>565</v>
      </c>
      <c r="B554" t="s">
        <v>2138</v>
      </c>
      <c r="C554" t="s">
        <v>618</v>
      </c>
      <c r="D554" t="str">
        <f t="shared" si="8"/>
        <v>jpg</v>
      </c>
    </row>
    <row r="555" spans="1:4" x14ac:dyDescent="0.25">
      <c r="A555" t="s">
        <v>565</v>
      </c>
      <c r="B555" t="s">
        <v>2138</v>
      </c>
      <c r="C555" t="s">
        <v>619</v>
      </c>
      <c r="D555" t="str">
        <f t="shared" si="8"/>
        <v>jpg</v>
      </c>
    </row>
    <row r="556" spans="1:4" x14ac:dyDescent="0.25">
      <c r="A556" t="s">
        <v>565</v>
      </c>
      <c r="B556" t="s">
        <v>2138</v>
      </c>
      <c r="C556" t="s">
        <v>620</v>
      </c>
      <c r="D556" t="str">
        <f t="shared" si="8"/>
        <v>jpg</v>
      </c>
    </row>
    <row r="557" spans="1:4" x14ac:dyDescent="0.25">
      <c r="A557" t="s">
        <v>565</v>
      </c>
      <c r="B557" t="s">
        <v>2138</v>
      </c>
      <c r="C557" t="s">
        <v>621</v>
      </c>
      <c r="D557" t="str">
        <f t="shared" si="8"/>
        <v>jpg</v>
      </c>
    </row>
    <row r="558" spans="1:4" x14ac:dyDescent="0.25">
      <c r="A558" t="s">
        <v>565</v>
      </c>
      <c r="B558" t="s">
        <v>2138</v>
      </c>
      <c r="C558" t="s">
        <v>622</v>
      </c>
      <c r="D558" t="str">
        <f t="shared" si="8"/>
        <v>jpg</v>
      </c>
    </row>
    <row r="559" spans="1:4" x14ac:dyDescent="0.25">
      <c r="A559" t="s">
        <v>565</v>
      </c>
      <c r="B559" t="s">
        <v>2138</v>
      </c>
      <c r="C559" t="s">
        <v>623</v>
      </c>
      <c r="D559" t="str">
        <f t="shared" si="8"/>
        <v>jpg</v>
      </c>
    </row>
    <row r="560" spans="1:4" x14ac:dyDescent="0.25">
      <c r="A560" t="s">
        <v>565</v>
      </c>
      <c r="B560" t="s">
        <v>2138</v>
      </c>
      <c r="C560" t="s">
        <v>624</v>
      </c>
      <c r="D560" t="str">
        <f t="shared" si="8"/>
        <v>jpg</v>
      </c>
    </row>
    <row r="561" spans="1:4" x14ac:dyDescent="0.25">
      <c r="A561" t="s">
        <v>565</v>
      </c>
      <c r="B561" t="s">
        <v>2138</v>
      </c>
      <c r="C561" t="s">
        <v>625</v>
      </c>
      <c r="D561" t="str">
        <f t="shared" si="8"/>
        <v>jpg</v>
      </c>
    </row>
    <row r="562" spans="1:4" x14ac:dyDescent="0.25">
      <c r="A562" t="s">
        <v>565</v>
      </c>
      <c r="B562" t="s">
        <v>2138</v>
      </c>
      <c r="C562" t="s">
        <v>626</v>
      </c>
      <c r="D562" t="str">
        <f t="shared" si="8"/>
        <v>jpg</v>
      </c>
    </row>
    <row r="563" spans="1:4" x14ac:dyDescent="0.25">
      <c r="A563" t="s">
        <v>565</v>
      </c>
      <c r="B563" t="s">
        <v>2138</v>
      </c>
      <c r="C563" t="s">
        <v>627</v>
      </c>
      <c r="D563" t="str">
        <f t="shared" si="8"/>
        <v>jpg</v>
      </c>
    </row>
    <row r="564" spans="1:4" x14ac:dyDescent="0.25">
      <c r="A564" t="s">
        <v>565</v>
      </c>
      <c r="B564" t="s">
        <v>2138</v>
      </c>
      <c r="C564" t="s">
        <v>628</v>
      </c>
      <c r="D564" t="str">
        <f t="shared" si="8"/>
        <v>jpg</v>
      </c>
    </row>
    <row r="565" spans="1:4" x14ac:dyDescent="0.25">
      <c r="A565" t="s">
        <v>565</v>
      </c>
      <c r="B565" t="s">
        <v>2138</v>
      </c>
      <c r="C565" t="s">
        <v>629</v>
      </c>
      <c r="D565" t="str">
        <f t="shared" si="8"/>
        <v>jpg</v>
      </c>
    </row>
    <row r="566" spans="1:4" x14ac:dyDescent="0.25">
      <c r="A566" t="s">
        <v>565</v>
      </c>
      <c r="B566" t="s">
        <v>2138</v>
      </c>
      <c r="C566" t="s">
        <v>630</v>
      </c>
      <c r="D566" t="str">
        <f t="shared" si="8"/>
        <v>jpg</v>
      </c>
    </row>
    <row r="567" spans="1:4" x14ac:dyDescent="0.25">
      <c r="A567" t="s">
        <v>565</v>
      </c>
      <c r="B567" t="s">
        <v>2138</v>
      </c>
      <c r="C567" t="s">
        <v>631</v>
      </c>
      <c r="D567" t="str">
        <f t="shared" si="8"/>
        <v>jpg</v>
      </c>
    </row>
    <row r="568" spans="1:4" x14ac:dyDescent="0.25">
      <c r="A568" t="s">
        <v>565</v>
      </c>
      <c r="B568" t="s">
        <v>2138</v>
      </c>
      <c r="C568" t="s">
        <v>632</v>
      </c>
      <c r="D568" t="str">
        <f t="shared" si="8"/>
        <v>jpg</v>
      </c>
    </row>
    <row r="569" spans="1:4" x14ac:dyDescent="0.25">
      <c r="A569" t="s">
        <v>565</v>
      </c>
      <c r="B569" t="s">
        <v>2138</v>
      </c>
      <c r="C569" t="s">
        <v>633</v>
      </c>
      <c r="D569" t="str">
        <f t="shared" si="8"/>
        <v>jpg</v>
      </c>
    </row>
    <row r="570" spans="1:4" x14ac:dyDescent="0.25">
      <c r="A570" t="s">
        <v>565</v>
      </c>
      <c r="B570" t="s">
        <v>2138</v>
      </c>
      <c r="C570" t="s">
        <v>634</v>
      </c>
      <c r="D570" t="str">
        <f t="shared" si="8"/>
        <v>jpg</v>
      </c>
    </row>
    <row r="571" spans="1:4" x14ac:dyDescent="0.25">
      <c r="A571" t="s">
        <v>565</v>
      </c>
      <c r="B571" t="s">
        <v>2138</v>
      </c>
      <c r="C571" t="s">
        <v>635</v>
      </c>
      <c r="D571" t="str">
        <f t="shared" si="8"/>
        <v>jpg</v>
      </c>
    </row>
    <row r="572" spans="1:4" x14ac:dyDescent="0.25">
      <c r="A572" t="s">
        <v>565</v>
      </c>
      <c r="B572" t="s">
        <v>2138</v>
      </c>
      <c r="C572" t="s">
        <v>636</v>
      </c>
      <c r="D572" t="str">
        <f t="shared" si="8"/>
        <v>jpg</v>
      </c>
    </row>
    <row r="573" spans="1:4" x14ac:dyDescent="0.25">
      <c r="A573" t="s">
        <v>565</v>
      </c>
      <c r="B573" t="s">
        <v>2138</v>
      </c>
      <c r="C573" t="s">
        <v>637</v>
      </c>
      <c r="D573" t="str">
        <f t="shared" si="8"/>
        <v>jpg</v>
      </c>
    </row>
    <row r="574" spans="1:4" x14ac:dyDescent="0.25">
      <c r="A574" t="s">
        <v>565</v>
      </c>
      <c r="B574" t="s">
        <v>2138</v>
      </c>
      <c r="C574" t="s">
        <v>638</v>
      </c>
      <c r="D574" t="str">
        <f t="shared" si="8"/>
        <v>jpg</v>
      </c>
    </row>
    <row r="575" spans="1:4" x14ac:dyDescent="0.25">
      <c r="A575" t="s">
        <v>565</v>
      </c>
      <c r="B575" t="s">
        <v>2138</v>
      </c>
      <c r="C575" t="s">
        <v>639</v>
      </c>
      <c r="D575" t="str">
        <f t="shared" si="8"/>
        <v>jpg</v>
      </c>
    </row>
    <row r="576" spans="1:4" x14ac:dyDescent="0.25">
      <c r="A576" t="s">
        <v>565</v>
      </c>
      <c r="B576" t="s">
        <v>2138</v>
      </c>
      <c r="C576" t="s">
        <v>640</v>
      </c>
      <c r="D576" t="str">
        <f t="shared" si="8"/>
        <v>jpg</v>
      </c>
    </row>
    <row r="577" spans="1:4" x14ac:dyDescent="0.25">
      <c r="A577" t="s">
        <v>565</v>
      </c>
      <c r="B577" t="s">
        <v>2138</v>
      </c>
      <c r="C577" t="s">
        <v>641</v>
      </c>
      <c r="D577" t="str">
        <f t="shared" si="8"/>
        <v>jpg</v>
      </c>
    </row>
    <row r="578" spans="1:4" x14ac:dyDescent="0.25">
      <c r="A578" t="s">
        <v>565</v>
      </c>
      <c r="B578" t="s">
        <v>2138</v>
      </c>
      <c r="C578" t="s">
        <v>642</v>
      </c>
      <c r="D578" t="str">
        <f t="shared" si="8"/>
        <v>jpg</v>
      </c>
    </row>
    <row r="579" spans="1:4" x14ac:dyDescent="0.25">
      <c r="A579" t="s">
        <v>565</v>
      </c>
      <c r="B579" t="s">
        <v>2138</v>
      </c>
      <c r="C579" t="s">
        <v>643</v>
      </c>
      <c r="D579" t="str">
        <f t="shared" ref="D579:D642" si="9">IF(ISNUMBER(SEARCH(".pdf",C579)),"pdf",IF(ISNUMBER(SEARCH(".tif",C579)),"tif",IF(ISNUMBER(SEARCH(".las",C579)),"las",IF(ISNUMBER(SEARCH(".sdg",C579)),"sdg",IF(ISNUMBER(SEARCH(".xlsx",C579)),"xlsx",IF(ISNUMBER(SEARCH(".docx",C579)),"docx",IF(ISNUMBER(SEARCH(".rhistory",C579)),"rhistory",IF(ISNUMBER(SEARCH(".db",C579)),"db",IF(ISNUMBER(SEARCH(".jpg",C579)),"jpg",IF(ISNUMBER(SEARCH(".png",C579)),"png",IF(ISNUMBER(SEARCH(".mdb",C579)),"mdb",IF(ISNUMBER(SEARCH(".xml",C579)),"xml",IF(ISNUMBER(SEARCH(".xls",C579)),"xls",IF(ISNUMBER(SEARCH(".txt",C579)),"txt",IF(ISNUMBER(SEARCH(".tsf",C579)),"tsf",IF(ISNUMBER(SEARCH(".sch",C579)),"sch","ZIP oder R"))))))))))))))))</f>
        <v>jpg</v>
      </c>
    </row>
    <row r="580" spans="1:4" x14ac:dyDescent="0.25">
      <c r="A580" t="s">
        <v>565</v>
      </c>
      <c r="B580" t="s">
        <v>2138</v>
      </c>
      <c r="C580" t="s">
        <v>644</v>
      </c>
      <c r="D580" t="str">
        <f t="shared" si="9"/>
        <v>jpg</v>
      </c>
    </row>
    <row r="581" spans="1:4" x14ac:dyDescent="0.25">
      <c r="A581" t="s">
        <v>565</v>
      </c>
      <c r="B581" t="s">
        <v>2138</v>
      </c>
      <c r="C581" t="s">
        <v>645</v>
      </c>
      <c r="D581" t="str">
        <f t="shared" si="9"/>
        <v>jpg</v>
      </c>
    </row>
    <row r="582" spans="1:4" x14ac:dyDescent="0.25">
      <c r="A582" t="s">
        <v>565</v>
      </c>
      <c r="B582" t="s">
        <v>2138</v>
      </c>
      <c r="C582" t="s">
        <v>646</v>
      </c>
      <c r="D582" t="str">
        <f t="shared" si="9"/>
        <v>jpg</v>
      </c>
    </row>
    <row r="583" spans="1:4" x14ac:dyDescent="0.25">
      <c r="A583" t="s">
        <v>565</v>
      </c>
      <c r="B583" t="s">
        <v>2138</v>
      </c>
      <c r="C583" t="s">
        <v>647</v>
      </c>
      <c r="D583" t="str">
        <f t="shared" si="9"/>
        <v>jpg</v>
      </c>
    </row>
    <row r="584" spans="1:4" x14ac:dyDescent="0.25">
      <c r="A584" t="s">
        <v>565</v>
      </c>
      <c r="B584" t="s">
        <v>2138</v>
      </c>
      <c r="C584" t="s">
        <v>648</v>
      </c>
      <c r="D584" t="str">
        <f t="shared" si="9"/>
        <v>jpg</v>
      </c>
    </row>
    <row r="585" spans="1:4" x14ac:dyDescent="0.25">
      <c r="A585" t="s">
        <v>565</v>
      </c>
      <c r="B585" t="s">
        <v>2138</v>
      </c>
      <c r="C585" t="s">
        <v>649</v>
      </c>
      <c r="D585" t="str">
        <f t="shared" si="9"/>
        <v>jpg</v>
      </c>
    </row>
    <row r="586" spans="1:4" x14ac:dyDescent="0.25">
      <c r="A586" t="s">
        <v>565</v>
      </c>
      <c r="B586" t="s">
        <v>2138</v>
      </c>
      <c r="C586" t="s">
        <v>650</v>
      </c>
      <c r="D586" t="str">
        <f t="shared" si="9"/>
        <v>jpg</v>
      </c>
    </row>
    <row r="587" spans="1:4" x14ac:dyDescent="0.25">
      <c r="A587" t="s">
        <v>565</v>
      </c>
      <c r="B587" t="s">
        <v>2138</v>
      </c>
      <c r="C587" t="s">
        <v>651</v>
      </c>
      <c r="D587" t="str">
        <f t="shared" si="9"/>
        <v>jpg</v>
      </c>
    </row>
    <row r="588" spans="1:4" x14ac:dyDescent="0.25">
      <c r="A588" t="s">
        <v>565</v>
      </c>
      <c r="B588" t="s">
        <v>2138</v>
      </c>
      <c r="C588" t="s">
        <v>652</v>
      </c>
      <c r="D588" t="str">
        <f t="shared" si="9"/>
        <v>jpg</v>
      </c>
    </row>
    <row r="589" spans="1:4" x14ac:dyDescent="0.25">
      <c r="A589" t="s">
        <v>565</v>
      </c>
      <c r="B589" t="s">
        <v>2138</v>
      </c>
      <c r="C589" t="s">
        <v>653</v>
      </c>
      <c r="D589" t="str">
        <f t="shared" si="9"/>
        <v>jpg</v>
      </c>
    </row>
    <row r="590" spans="1:4" x14ac:dyDescent="0.25">
      <c r="A590" t="s">
        <v>565</v>
      </c>
      <c r="B590" t="s">
        <v>2138</v>
      </c>
      <c r="C590" t="s">
        <v>654</v>
      </c>
      <c r="D590" t="str">
        <f t="shared" si="9"/>
        <v>jpg</v>
      </c>
    </row>
    <row r="591" spans="1:4" x14ac:dyDescent="0.25">
      <c r="A591" t="s">
        <v>565</v>
      </c>
      <c r="B591" t="s">
        <v>2138</v>
      </c>
      <c r="C591" t="s">
        <v>655</v>
      </c>
      <c r="D591" t="str">
        <f t="shared" si="9"/>
        <v>jpg</v>
      </c>
    </row>
    <row r="592" spans="1:4" x14ac:dyDescent="0.25">
      <c r="A592" t="s">
        <v>565</v>
      </c>
      <c r="B592" t="s">
        <v>2138</v>
      </c>
      <c r="C592" t="s">
        <v>656</v>
      </c>
      <c r="D592" t="str">
        <f t="shared" si="9"/>
        <v>jpg</v>
      </c>
    </row>
    <row r="593" spans="1:4" x14ac:dyDescent="0.25">
      <c r="A593" t="s">
        <v>565</v>
      </c>
      <c r="B593" t="s">
        <v>2138</v>
      </c>
      <c r="C593" t="s">
        <v>657</v>
      </c>
      <c r="D593" t="str">
        <f t="shared" si="9"/>
        <v>jpg</v>
      </c>
    </row>
    <row r="594" spans="1:4" x14ac:dyDescent="0.25">
      <c r="A594" t="s">
        <v>565</v>
      </c>
      <c r="B594" t="s">
        <v>2138</v>
      </c>
      <c r="C594" t="s">
        <v>658</v>
      </c>
      <c r="D594" t="str">
        <f t="shared" si="9"/>
        <v>jpg</v>
      </c>
    </row>
    <row r="595" spans="1:4" x14ac:dyDescent="0.25">
      <c r="A595" t="s">
        <v>565</v>
      </c>
      <c r="B595" t="s">
        <v>2138</v>
      </c>
      <c r="C595" t="s">
        <v>659</v>
      </c>
      <c r="D595" t="str">
        <f t="shared" si="9"/>
        <v>jpg</v>
      </c>
    </row>
    <row r="596" spans="1:4" x14ac:dyDescent="0.25">
      <c r="A596" t="s">
        <v>565</v>
      </c>
      <c r="B596" t="s">
        <v>2138</v>
      </c>
      <c r="C596" t="s">
        <v>660</v>
      </c>
      <c r="D596" t="str">
        <f t="shared" si="9"/>
        <v>jpg</v>
      </c>
    </row>
    <row r="597" spans="1:4" x14ac:dyDescent="0.25">
      <c r="A597" t="s">
        <v>565</v>
      </c>
      <c r="B597" t="s">
        <v>2138</v>
      </c>
      <c r="C597" t="s">
        <v>661</v>
      </c>
      <c r="D597" t="str">
        <f t="shared" si="9"/>
        <v>jpg</v>
      </c>
    </row>
    <row r="598" spans="1:4" x14ac:dyDescent="0.25">
      <c r="A598" t="s">
        <v>565</v>
      </c>
      <c r="B598" t="s">
        <v>2138</v>
      </c>
      <c r="C598" t="s">
        <v>662</v>
      </c>
      <c r="D598" t="str">
        <f t="shared" si="9"/>
        <v>jpg</v>
      </c>
    </row>
    <row r="599" spans="1:4" x14ac:dyDescent="0.25">
      <c r="A599" t="s">
        <v>565</v>
      </c>
      <c r="B599" t="s">
        <v>2138</v>
      </c>
      <c r="C599" t="s">
        <v>663</v>
      </c>
      <c r="D599" t="str">
        <f t="shared" si="9"/>
        <v>jpg</v>
      </c>
    </row>
    <row r="600" spans="1:4" x14ac:dyDescent="0.25">
      <c r="A600" t="s">
        <v>565</v>
      </c>
      <c r="B600" t="s">
        <v>2138</v>
      </c>
      <c r="C600" t="s">
        <v>664</v>
      </c>
      <c r="D600" t="str">
        <f t="shared" si="9"/>
        <v>jpg</v>
      </c>
    </row>
    <row r="601" spans="1:4" x14ac:dyDescent="0.25">
      <c r="A601" t="s">
        <v>565</v>
      </c>
      <c r="B601" t="s">
        <v>2138</v>
      </c>
      <c r="C601" t="s">
        <v>665</v>
      </c>
      <c r="D601" t="str">
        <f t="shared" si="9"/>
        <v>jpg</v>
      </c>
    </row>
    <row r="602" spans="1:4" x14ac:dyDescent="0.25">
      <c r="A602" t="s">
        <v>565</v>
      </c>
      <c r="B602" t="s">
        <v>2138</v>
      </c>
      <c r="C602" t="s">
        <v>666</v>
      </c>
      <c r="D602" t="str">
        <f t="shared" si="9"/>
        <v>jpg</v>
      </c>
    </row>
    <row r="603" spans="1:4" x14ac:dyDescent="0.25">
      <c r="A603" t="s">
        <v>565</v>
      </c>
      <c r="B603" t="s">
        <v>2138</v>
      </c>
      <c r="C603" t="s">
        <v>667</v>
      </c>
      <c r="D603" t="str">
        <f t="shared" si="9"/>
        <v>jpg</v>
      </c>
    </row>
    <row r="604" spans="1:4" x14ac:dyDescent="0.25">
      <c r="A604" t="s">
        <v>668</v>
      </c>
      <c r="B604" t="s">
        <v>2138</v>
      </c>
      <c r="C604" t="s">
        <v>669</v>
      </c>
      <c r="D604" t="str">
        <f t="shared" si="9"/>
        <v>docx</v>
      </c>
    </row>
    <row r="605" spans="1:4" x14ac:dyDescent="0.25">
      <c r="A605" t="s">
        <v>668</v>
      </c>
      <c r="B605" t="s">
        <v>2138</v>
      </c>
      <c r="C605" t="s">
        <v>670</v>
      </c>
      <c r="D605" t="str">
        <f t="shared" si="9"/>
        <v>txt</v>
      </c>
    </row>
    <row r="606" spans="1:4" x14ac:dyDescent="0.25">
      <c r="A606" t="s">
        <v>668</v>
      </c>
      <c r="B606" t="s">
        <v>2138</v>
      </c>
      <c r="C606" t="s">
        <v>671</v>
      </c>
      <c r="D606" t="str">
        <f t="shared" si="9"/>
        <v>xlsx</v>
      </c>
    </row>
    <row r="607" spans="1:4" x14ac:dyDescent="0.25">
      <c r="A607" t="s">
        <v>668</v>
      </c>
      <c r="B607" t="s">
        <v>2138</v>
      </c>
      <c r="C607" t="s">
        <v>672</v>
      </c>
      <c r="D607" t="str">
        <f t="shared" si="9"/>
        <v>ZIP oder R</v>
      </c>
    </row>
    <row r="608" spans="1:4" x14ac:dyDescent="0.25">
      <c r="A608" t="s">
        <v>673</v>
      </c>
      <c r="B608" t="s">
        <v>2138</v>
      </c>
      <c r="C608" t="s">
        <v>674</v>
      </c>
      <c r="D608" t="str">
        <f t="shared" si="9"/>
        <v>jpg</v>
      </c>
    </row>
    <row r="609" spans="1:4" x14ac:dyDescent="0.25">
      <c r="A609" t="s">
        <v>673</v>
      </c>
      <c r="B609" t="s">
        <v>2138</v>
      </c>
      <c r="C609" t="s">
        <v>675</v>
      </c>
      <c r="D609" t="str">
        <f t="shared" si="9"/>
        <v>pdf</v>
      </c>
    </row>
    <row r="610" spans="1:4" x14ac:dyDescent="0.25">
      <c r="A610" t="s">
        <v>673</v>
      </c>
      <c r="B610" t="s">
        <v>2138</v>
      </c>
      <c r="C610" t="s">
        <v>676</v>
      </c>
      <c r="D610" t="str">
        <f t="shared" si="9"/>
        <v>jpg</v>
      </c>
    </row>
    <row r="611" spans="1:4" x14ac:dyDescent="0.25">
      <c r="A611" t="s">
        <v>673</v>
      </c>
      <c r="B611" t="s">
        <v>2138</v>
      </c>
      <c r="C611" t="s">
        <v>677</v>
      </c>
      <c r="D611" t="str">
        <f t="shared" si="9"/>
        <v>jpg</v>
      </c>
    </row>
    <row r="612" spans="1:4" x14ac:dyDescent="0.25">
      <c r="A612" t="s">
        <v>673</v>
      </c>
      <c r="B612" t="s">
        <v>2138</v>
      </c>
      <c r="C612" t="s">
        <v>678</v>
      </c>
      <c r="D612" t="str">
        <f t="shared" si="9"/>
        <v>jpg</v>
      </c>
    </row>
    <row r="613" spans="1:4" x14ac:dyDescent="0.25">
      <c r="A613" t="s">
        <v>673</v>
      </c>
      <c r="B613" t="s">
        <v>2138</v>
      </c>
      <c r="C613" t="s">
        <v>679</v>
      </c>
      <c r="D613" t="str">
        <f t="shared" si="9"/>
        <v>jpg</v>
      </c>
    </row>
    <row r="614" spans="1:4" x14ac:dyDescent="0.25">
      <c r="A614" t="s">
        <v>673</v>
      </c>
      <c r="B614" t="s">
        <v>2138</v>
      </c>
      <c r="C614" t="s">
        <v>680</v>
      </c>
      <c r="D614" t="str">
        <f t="shared" si="9"/>
        <v>jpg</v>
      </c>
    </row>
    <row r="615" spans="1:4" x14ac:dyDescent="0.25">
      <c r="A615" t="s">
        <v>673</v>
      </c>
      <c r="B615" t="s">
        <v>2138</v>
      </c>
      <c r="C615" t="s">
        <v>681</v>
      </c>
      <c r="D615" t="str">
        <f t="shared" si="9"/>
        <v>jpg</v>
      </c>
    </row>
    <row r="616" spans="1:4" x14ac:dyDescent="0.25">
      <c r="A616" t="s">
        <v>673</v>
      </c>
      <c r="B616" t="s">
        <v>2138</v>
      </c>
      <c r="C616" t="s">
        <v>682</v>
      </c>
      <c r="D616" t="str">
        <f t="shared" si="9"/>
        <v>jpg</v>
      </c>
    </row>
    <row r="617" spans="1:4" x14ac:dyDescent="0.25">
      <c r="A617" t="s">
        <v>673</v>
      </c>
      <c r="B617" t="s">
        <v>2138</v>
      </c>
      <c r="C617" t="s">
        <v>683</v>
      </c>
      <c r="D617" t="str">
        <f t="shared" si="9"/>
        <v>jpg</v>
      </c>
    </row>
    <row r="618" spans="1:4" x14ac:dyDescent="0.25">
      <c r="A618" t="s">
        <v>673</v>
      </c>
      <c r="B618" t="s">
        <v>2138</v>
      </c>
      <c r="C618" t="s">
        <v>684</v>
      </c>
      <c r="D618" t="str">
        <f t="shared" si="9"/>
        <v>jpg</v>
      </c>
    </row>
    <row r="619" spans="1:4" x14ac:dyDescent="0.25">
      <c r="A619" t="s">
        <v>673</v>
      </c>
      <c r="B619" t="s">
        <v>2138</v>
      </c>
      <c r="C619" t="s">
        <v>685</v>
      </c>
      <c r="D619" t="str">
        <f t="shared" si="9"/>
        <v>jpg</v>
      </c>
    </row>
    <row r="620" spans="1:4" x14ac:dyDescent="0.25">
      <c r="A620" t="s">
        <v>673</v>
      </c>
      <c r="B620" t="s">
        <v>2138</v>
      </c>
      <c r="C620" t="s">
        <v>686</v>
      </c>
      <c r="D620" t="str">
        <f t="shared" si="9"/>
        <v>jpg</v>
      </c>
    </row>
    <row r="621" spans="1:4" x14ac:dyDescent="0.25">
      <c r="A621" t="s">
        <v>673</v>
      </c>
      <c r="B621" t="s">
        <v>2138</v>
      </c>
      <c r="C621" t="s">
        <v>687</v>
      </c>
      <c r="D621" t="str">
        <f t="shared" si="9"/>
        <v>jpg</v>
      </c>
    </row>
    <row r="622" spans="1:4" x14ac:dyDescent="0.25">
      <c r="A622" t="s">
        <v>673</v>
      </c>
      <c r="B622" t="s">
        <v>2138</v>
      </c>
      <c r="C622" t="s">
        <v>688</v>
      </c>
      <c r="D622" t="str">
        <f t="shared" si="9"/>
        <v>jpg</v>
      </c>
    </row>
    <row r="623" spans="1:4" x14ac:dyDescent="0.25">
      <c r="A623" t="s">
        <v>673</v>
      </c>
      <c r="B623" t="s">
        <v>2138</v>
      </c>
      <c r="C623" t="s">
        <v>689</v>
      </c>
      <c r="D623" t="str">
        <f t="shared" si="9"/>
        <v>jpg</v>
      </c>
    </row>
    <row r="624" spans="1:4" x14ac:dyDescent="0.25">
      <c r="A624" t="s">
        <v>673</v>
      </c>
      <c r="B624" t="s">
        <v>2138</v>
      </c>
      <c r="C624" t="s">
        <v>690</v>
      </c>
      <c r="D624" t="str">
        <f t="shared" si="9"/>
        <v>jpg</v>
      </c>
    </row>
    <row r="625" spans="1:4" x14ac:dyDescent="0.25">
      <c r="A625" t="s">
        <v>673</v>
      </c>
      <c r="B625" t="s">
        <v>2138</v>
      </c>
      <c r="C625" t="s">
        <v>691</v>
      </c>
      <c r="D625" t="str">
        <f t="shared" si="9"/>
        <v>jpg</v>
      </c>
    </row>
    <row r="626" spans="1:4" x14ac:dyDescent="0.25">
      <c r="A626" t="s">
        <v>673</v>
      </c>
      <c r="B626" t="s">
        <v>2138</v>
      </c>
      <c r="C626" t="s">
        <v>692</v>
      </c>
      <c r="D626" t="str">
        <f t="shared" si="9"/>
        <v>jpg</v>
      </c>
    </row>
    <row r="627" spans="1:4" x14ac:dyDescent="0.25">
      <c r="A627" t="s">
        <v>673</v>
      </c>
      <c r="B627" t="s">
        <v>2138</v>
      </c>
      <c r="C627" t="s">
        <v>693</v>
      </c>
      <c r="D627" t="str">
        <f t="shared" si="9"/>
        <v>jpg</v>
      </c>
    </row>
    <row r="628" spans="1:4" x14ac:dyDescent="0.25">
      <c r="A628" t="s">
        <v>673</v>
      </c>
      <c r="B628" t="s">
        <v>2138</v>
      </c>
      <c r="C628" t="s">
        <v>694</v>
      </c>
      <c r="D628" t="str">
        <f t="shared" si="9"/>
        <v>jpg</v>
      </c>
    </row>
    <row r="629" spans="1:4" x14ac:dyDescent="0.25">
      <c r="A629" t="s">
        <v>673</v>
      </c>
      <c r="B629" t="s">
        <v>2138</v>
      </c>
      <c r="C629" t="s">
        <v>695</v>
      </c>
      <c r="D629" t="str">
        <f t="shared" si="9"/>
        <v>jpg</v>
      </c>
    </row>
    <row r="630" spans="1:4" x14ac:dyDescent="0.25">
      <c r="A630" t="s">
        <v>673</v>
      </c>
      <c r="B630" t="s">
        <v>2138</v>
      </c>
      <c r="C630" t="s">
        <v>696</v>
      </c>
      <c r="D630" t="str">
        <f t="shared" si="9"/>
        <v>jpg</v>
      </c>
    </row>
    <row r="631" spans="1:4" x14ac:dyDescent="0.25">
      <c r="A631" t="s">
        <v>673</v>
      </c>
      <c r="B631" t="s">
        <v>2138</v>
      </c>
      <c r="C631" t="s">
        <v>697</v>
      </c>
      <c r="D631" t="str">
        <f t="shared" si="9"/>
        <v>jpg</v>
      </c>
    </row>
    <row r="632" spans="1:4" x14ac:dyDescent="0.25">
      <c r="A632" t="s">
        <v>673</v>
      </c>
      <c r="B632" t="s">
        <v>2138</v>
      </c>
      <c r="C632" t="s">
        <v>698</v>
      </c>
      <c r="D632" t="str">
        <f t="shared" si="9"/>
        <v>jpg</v>
      </c>
    </row>
    <row r="633" spans="1:4" x14ac:dyDescent="0.25">
      <c r="A633" t="s">
        <v>673</v>
      </c>
      <c r="B633" t="s">
        <v>2138</v>
      </c>
      <c r="C633" t="s">
        <v>699</v>
      </c>
      <c r="D633" t="str">
        <f t="shared" si="9"/>
        <v>jpg</v>
      </c>
    </row>
    <row r="634" spans="1:4" x14ac:dyDescent="0.25">
      <c r="A634" t="s">
        <v>673</v>
      </c>
      <c r="B634" t="s">
        <v>2138</v>
      </c>
      <c r="C634" t="s">
        <v>700</v>
      </c>
      <c r="D634" t="str">
        <f t="shared" si="9"/>
        <v>jpg</v>
      </c>
    </row>
    <row r="635" spans="1:4" x14ac:dyDescent="0.25">
      <c r="A635" t="s">
        <v>673</v>
      </c>
      <c r="B635" t="s">
        <v>2138</v>
      </c>
      <c r="C635" t="s">
        <v>701</v>
      </c>
      <c r="D635" t="str">
        <f t="shared" si="9"/>
        <v>jpg</v>
      </c>
    </row>
    <row r="636" spans="1:4" x14ac:dyDescent="0.25">
      <c r="A636" t="s">
        <v>673</v>
      </c>
      <c r="B636" t="s">
        <v>2138</v>
      </c>
      <c r="C636" t="s">
        <v>702</v>
      </c>
      <c r="D636" t="str">
        <f t="shared" si="9"/>
        <v>jpg</v>
      </c>
    </row>
    <row r="637" spans="1:4" x14ac:dyDescent="0.25">
      <c r="A637" t="s">
        <v>673</v>
      </c>
      <c r="B637" t="s">
        <v>2138</v>
      </c>
      <c r="C637" t="s">
        <v>703</v>
      </c>
      <c r="D637" t="str">
        <f t="shared" si="9"/>
        <v>jpg</v>
      </c>
    </row>
    <row r="638" spans="1:4" x14ac:dyDescent="0.25">
      <c r="A638" t="s">
        <v>673</v>
      </c>
      <c r="B638" t="s">
        <v>2138</v>
      </c>
      <c r="C638" t="s">
        <v>704</v>
      </c>
      <c r="D638" t="str">
        <f t="shared" si="9"/>
        <v>jpg</v>
      </c>
    </row>
    <row r="639" spans="1:4" x14ac:dyDescent="0.25">
      <c r="A639" t="s">
        <v>673</v>
      </c>
      <c r="B639" t="s">
        <v>2138</v>
      </c>
      <c r="C639" t="s">
        <v>705</v>
      </c>
      <c r="D639" t="str">
        <f t="shared" si="9"/>
        <v>jpg</v>
      </c>
    </row>
    <row r="640" spans="1:4" x14ac:dyDescent="0.25">
      <c r="A640" t="s">
        <v>673</v>
      </c>
      <c r="B640" t="s">
        <v>2138</v>
      </c>
      <c r="C640" t="s">
        <v>706</v>
      </c>
      <c r="D640" t="str">
        <f t="shared" si="9"/>
        <v>jpg</v>
      </c>
    </row>
    <row r="641" spans="1:4" x14ac:dyDescent="0.25">
      <c r="A641" t="s">
        <v>673</v>
      </c>
      <c r="B641" t="s">
        <v>2138</v>
      </c>
      <c r="C641" t="s">
        <v>707</v>
      </c>
      <c r="D641" t="str">
        <f t="shared" si="9"/>
        <v>jpg</v>
      </c>
    </row>
    <row r="642" spans="1:4" x14ac:dyDescent="0.25">
      <c r="A642" t="s">
        <v>673</v>
      </c>
      <c r="B642" t="s">
        <v>2138</v>
      </c>
      <c r="C642" t="s">
        <v>708</v>
      </c>
      <c r="D642" t="str">
        <f t="shared" si="9"/>
        <v>jpg</v>
      </c>
    </row>
    <row r="643" spans="1:4" x14ac:dyDescent="0.25">
      <c r="A643" t="s">
        <v>673</v>
      </c>
      <c r="B643" t="s">
        <v>2138</v>
      </c>
      <c r="C643" t="s">
        <v>709</v>
      </c>
      <c r="D643" t="str">
        <f t="shared" ref="D643:D706" si="10">IF(ISNUMBER(SEARCH(".pdf",C643)),"pdf",IF(ISNUMBER(SEARCH(".tif",C643)),"tif",IF(ISNUMBER(SEARCH(".las",C643)),"las",IF(ISNUMBER(SEARCH(".sdg",C643)),"sdg",IF(ISNUMBER(SEARCH(".xlsx",C643)),"xlsx",IF(ISNUMBER(SEARCH(".docx",C643)),"docx",IF(ISNUMBER(SEARCH(".rhistory",C643)),"rhistory",IF(ISNUMBER(SEARCH(".db",C643)),"db",IF(ISNUMBER(SEARCH(".jpg",C643)),"jpg",IF(ISNUMBER(SEARCH(".png",C643)),"png",IF(ISNUMBER(SEARCH(".mdb",C643)),"mdb",IF(ISNUMBER(SEARCH(".xml",C643)),"xml",IF(ISNUMBER(SEARCH(".xls",C643)),"xls",IF(ISNUMBER(SEARCH(".txt",C643)),"txt",IF(ISNUMBER(SEARCH(".tsf",C643)),"tsf",IF(ISNUMBER(SEARCH(".sch",C643)),"sch","ZIP oder R"))))))))))))))))</f>
        <v>jpg</v>
      </c>
    </row>
    <row r="644" spans="1:4" x14ac:dyDescent="0.25">
      <c r="A644" t="s">
        <v>673</v>
      </c>
      <c r="B644" t="s">
        <v>2138</v>
      </c>
      <c r="C644" t="s">
        <v>710</v>
      </c>
      <c r="D644" t="str">
        <f t="shared" si="10"/>
        <v>jpg</v>
      </c>
    </row>
    <row r="645" spans="1:4" x14ac:dyDescent="0.25">
      <c r="A645" t="s">
        <v>673</v>
      </c>
      <c r="B645" t="s">
        <v>2138</v>
      </c>
      <c r="C645" t="s">
        <v>711</v>
      </c>
      <c r="D645" t="str">
        <f t="shared" si="10"/>
        <v>jpg</v>
      </c>
    </row>
    <row r="646" spans="1:4" x14ac:dyDescent="0.25">
      <c r="A646" t="s">
        <v>673</v>
      </c>
      <c r="B646" t="s">
        <v>2138</v>
      </c>
      <c r="C646" t="s">
        <v>712</v>
      </c>
      <c r="D646" t="str">
        <f t="shared" si="10"/>
        <v>jpg</v>
      </c>
    </row>
    <row r="647" spans="1:4" x14ac:dyDescent="0.25">
      <c r="A647" t="s">
        <v>673</v>
      </c>
      <c r="B647" t="s">
        <v>2138</v>
      </c>
      <c r="C647" t="s">
        <v>713</v>
      </c>
      <c r="D647" t="str">
        <f t="shared" si="10"/>
        <v>jpg</v>
      </c>
    </row>
    <row r="648" spans="1:4" x14ac:dyDescent="0.25">
      <c r="A648" t="s">
        <v>673</v>
      </c>
      <c r="B648" t="s">
        <v>2138</v>
      </c>
      <c r="C648" t="s">
        <v>714</v>
      </c>
      <c r="D648" t="str">
        <f t="shared" si="10"/>
        <v>jpg</v>
      </c>
    </row>
    <row r="649" spans="1:4" x14ac:dyDescent="0.25">
      <c r="A649" t="s">
        <v>673</v>
      </c>
      <c r="B649" t="s">
        <v>2138</v>
      </c>
      <c r="C649" t="s">
        <v>715</v>
      </c>
      <c r="D649" t="str">
        <f t="shared" si="10"/>
        <v>jpg</v>
      </c>
    </row>
    <row r="650" spans="1:4" x14ac:dyDescent="0.25">
      <c r="A650" t="s">
        <v>673</v>
      </c>
      <c r="B650" t="s">
        <v>2138</v>
      </c>
      <c r="C650" t="s">
        <v>716</v>
      </c>
      <c r="D650" t="str">
        <f t="shared" si="10"/>
        <v>jpg</v>
      </c>
    </row>
    <row r="651" spans="1:4" x14ac:dyDescent="0.25">
      <c r="A651" t="s">
        <v>673</v>
      </c>
      <c r="B651" t="s">
        <v>2138</v>
      </c>
      <c r="C651" t="s">
        <v>717</v>
      </c>
      <c r="D651" t="str">
        <f t="shared" si="10"/>
        <v>jpg</v>
      </c>
    </row>
    <row r="652" spans="1:4" x14ac:dyDescent="0.25">
      <c r="A652" t="s">
        <v>673</v>
      </c>
      <c r="B652" t="s">
        <v>2138</v>
      </c>
      <c r="C652" t="s">
        <v>718</v>
      </c>
      <c r="D652" t="str">
        <f t="shared" si="10"/>
        <v>jpg</v>
      </c>
    </row>
    <row r="653" spans="1:4" x14ac:dyDescent="0.25">
      <c r="A653" t="s">
        <v>673</v>
      </c>
      <c r="B653" t="s">
        <v>2138</v>
      </c>
      <c r="C653" t="s">
        <v>719</v>
      </c>
      <c r="D653" t="str">
        <f t="shared" si="10"/>
        <v>jpg</v>
      </c>
    </row>
    <row r="654" spans="1:4" x14ac:dyDescent="0.25">
      <c r="A654" t="s">
        <v>673</v>
      </c>
      <c r="B654" t="s">
        <v>2138</v>
      </c>
      <c r="C654" t="s">
        <v>720</v>
      </c>
      <c r="D654" t="str">
        <f t="shared" si="10"/>
        <v>jpg</v>
      </c>
    </row>
    <row r="655" spans="1:4" x14ac:dyDescent="0.25">
      <c r="A655" t="s">
        <v>673</v>
      </c>
      <c r="B655" t="s">
        <v>2138</v>
      </c>
      <c r="C655" t="s">
        <v>721</v>
      </c>
      <c r="D655" t="str">
        <f t="shared" si="10"/>
        <v>jpg</v>
      </c>
    </row>
    <row r="656" spans="1:4" x14ac:dyDescent="0.25">
      <c r="A656" t="s">
        <v>673</v>
      </c>
      <c r="B656" t="s">
        <v>2138</v>
      </c>
      <c r="C656" t="s">
        <v>722</v>
      </c>
      <c r="D656" t="str">
        <f t="shared" si="10"/>
        <v>jpg</v>
      </c>
    </row>
    <row r="657" spans="1:4" x14ac:dyDescent="0.25">
      <c r="A657" t="s">
        <v>673</v>
      </c>
      <c r="B657" t="s">
        <v>2138</v>
      </c>
      <c r="C657" t="s">
        <v>723</v>
      </c>
      <c r="D657" t="str">
        <f t="shared" si="10"/>
        <v>jpg</v>
      </c>
    </row>
    <row r="658" spans="1:4" x14ac:dyDescent="0.25">
      <c r="A658" t="s">
        <v>673</v>
      </c>
      <c r="B658" t="s">
        <v>2138</v>
      </c>
      <c r="C658" t="s">
        <v>724</v>
      </c>
      <c r="D658" t="str">
        <f t="shared" si="10"/>
        <v>jpg</v>
      </c>
    </row>
    <row r="659" spans="1:4" x14ac:dyDescent="0.25">
      <c r="A659" t="s">
        <v>673</v>
      </c>
      <c r="B659" t="s">
        <v>2138</v>
      </c>
      <c r="C659" t="s">
        <v>725</v>
      </c>
      <c r="D659" t="str">
        <f t="shared" si="10"/>
        <v>jpg</v>
      </c>
    </row>
    <row r="660" spans="1:4" x14ac:dyDescent="0.25">
      <c r="A660" t="s">
        <v>673</v>
      </c>
      <c r="B660" t="s">
        <v>2138</v>
      </c>
      <c r="C660" t="s">
        <v>726</v>
      </c>
      <c r="D660" t="str">
        <f t="shared" si="10"/>
        <v>jpg</v>
      </c>
    </row>
    <row r="661" spans="1:4" x14ac:dyDescent="0.25">
      <c r="A661" t="s">
        <v>673</v>
      </c>
      <c r="B661" t="s">
        <v>2138</v>
      </c>
      <c r="C661" t="s">
        <v>727</v>
      </c>
      <c r="D661" t="str">
        <f t="shared" si="10"/>
        <v>jpg</v>
      </c>
    </row>
    <row r="662" spans="1:4" x14ac:dyDescent="0.25">
      <c r="A662" t="s">
        <v>673</v>
      </c>
      <c r="B662" t="s">
        <v>2138</v>
      </c>
      <c r="C662" t="s">
        <v>728</v>
      </c>
      <c r="D662" t="str">
        <f t="shared" si="10"/>
        <v>jpg</v>
      </c>
    </row>
    <row r="663" spans="1:4" x14ac:dyDescent="0.25">
      <c r="A663" t="s">
        <v>673</v>
      </c>
      <c r="B663" t="s">
        <v>2138</v>
      </c>
      <c r="C663" t="s">
        <v>729</v>
      </c>
      <c r="D663" t="str">
        <f t="shared" si="10"/>
        <v>jpg</v>
      </c>
    </row>
    <row r="664" spans="1:4" x14ac:dyDescent="0.25">
      <c r="A664" t="s">
        <v>673</v>
      </c>
      <c r="B664" t="s">
        <v>2138</v>
      </c>
      <c r="C664" t="s">
        <v>730</v>
      </c>
      <c r="D664" t="str">
        <f t="shared" si="10"/>
        <v>jpg</v>
      </c>
    </row>
    <row r="665" spans="1:4" x14ac:dyDescent="0.25">
      <c r="A665" t="s">
        <v>673</v>
      </c>
      <c r="B665" t="s">
        <v>2138</v>
      </c>
      <c r="C665" t="s">
        <v>731</v>
      </c>
      <c r="D665" t="str">
        <f t="shared" si="10"/>
        <v>jpg</v>
      </c>
    </row>
    <row r="666" spans="1:4" x14ac:dyDescent="0.25">
      <c r="A666" t="s">
        <v>673</v>
      </c>
      <c r="B666" t="s">
        <v>2138</v>
      </c>
      <c r="C666" t="s">
        <v>732</v>
      </c>
      <c r="D666" t="str">
        <f t="shared" si="10"/>
        <v>jpg</v>
      </c>
    </row>
    <row r="667" spans="1:4" x14ac:dyDescent="0.25">
      <c r="A667" t="s">
        <v>673</v>
      </c>
      <c r="B667" t="s">
        <v>2138</v>
      </c>
      <c r="C667" t="s">
        <v>733</v>
      </c>
      <c r="D667" t="str">
        <f t="shared" si="10"/>
        <v>jpg</v>
      </c>
    </row>
    <row r="668" spans="1:4" x14ac:dyDescent="0.25">
      <c r="A668" t="s">
        <v>673</v>
      </c>
      <c r="B668" t="s">
        <v>2138</v>
      </c>
      <c r="C668" t="s">
        <v>734</v>
      </c>
      <c r="D668" t="str">
        <f t="shared" si="10"/>
        <v>jpg</v>
      </c>
    </row>
    <row r="669" spans="1:4" x14ac:dyDescent="0.25">
      <c r="A669" t="s">
        <v>673</v>
      </c>
      <c r="B669" t="s">
        <v>2138</v>
      </c>
      <c r="C669" t="s">
        <v>735</v>
      </c>
      <c r="D669" t="str">
        <f t="shared" si="10"/>
        <v>jpg</v>
      </c>
    </row>
    <row r="670" spans="1:4" x14ac:dyDescent="0.25">
      <c r="A670" t="s">
        <v>673</v>
      </c>
      <c r="B670" t="s">
        <v>2138</v>
      </c>
      <c r="C670" t="s">
        <v>736</v>
      </c>
      <c r="D670" t="str">
        <f t="shared" si="10"/>
        <v>jpg</v>
      </c>
    </row>
    <row r="671" spans="1:4" x14ac:dyDescent="0.25">
      <c r="A671" t="s">
        <v>673</v>
      </c>
      <c r="B671" t="s">
        <v>2138</v>
      </c>
      <c r="C671" t="s">
        <v>737</v>
      </c>
      <c r="D671" t="str">
        <f t="shared" si="10"/>
        <v>jpg</v>
      </c>
    </row>
    <row r="672" spans="1:4" x14ac:dyDescent="0.25">
      <c r="A672" t="s">
        <v>673</v>
      </c>
      <c r="B672" t="s">
        <v>2138</v>
      </c>
      <c r="C672" t="s">
        <v>738</v>
      </c>
      <c r="D672" t="str">
        <f t="shared" si="10"/>
        <v>jpg</v>
      </c>
    </row>
    <row r="673" spans="1:4" x14ac:dyDescent="0.25">
      <c r="A673" t="s">
        <v>673</v>
      </c>
      <c r="B673" t="s">
        <v>2138</v>
      </c>
      <c r="C673" t="s">
        <v>739</v>
      </c>
      <c r="D673" t="str">
        <f t="shared" si="10"/>
        <v>jpg</v>
      </c>
    </row>
    <row r="674" spans="1:4" x14ac:dyDescent="0.25">
      <c r="A674" t="s">
        <v>673</v>
      </c>
      <c r="B674" t="s">
        <v>2138</v>
      </c>
      <c r="C674" t="s">
        <v>740</v>
      </c>
      <c r="D674" t="str">
        <f t="shared" si="10"/>
        <v>jpg</v>
      </c>
    </row>
    <row r="675" spans="1:4" x14ac:dyDescent="0.25">
      <c r="A675" t="s">
        <v>673</v>
      </c>
      <c r="B675" t="s">
        <v>2138</v>
      </c>
      <c r="C675" t="s">
        <v>741</v>
      </c>
      <c r="D675" t="str">
        <f t="shared" si="10"/>
        <v>jpg</v>
      </c>
    </row>
    <row r="676" spans="1:4" x14ac:dyDescent="0.25">
      <c r="A676" t="s">
        <v>673</v>
      </c>
      <c r="B676" t="s">
        <v>2138</v>
      </c>
      <c r="C676" t="s">
        <v>742</v>
      </c>
      <c r="D676" t="str">
        <f t="shared" si="10"/>
        <v>jpg</v>
      </c>
    </row>
    <row r="677" spans="1:4" x14ac:dyDescent="0.25">
      <c r="A677" t="s">
        <v>673</v>
      </c>
      <c r="B677" t="s">
        <v>2138</v>
      </c>
      <c r="C677" t="s">
        <v>743</v>
      </c>
      <c r="D677" t="str">
        <f t="shared" si="10"/>
        <v>jpg</v>
      </c>
    </row>
    <row r="678" spans="1:4" x14ac:dyDescent="0.25">
      <c r="A678" t="s">
        <v>673</v>
      </c>
      <c r="B678" t="s">
        <v>2138</v>
      </c>
      <c r="C678" t="s">
        <v>744</v>
      </c>
      <c r="D678" t="str">
        <f t="shared" si="10"/>
        <v>jpg</v>
      </c>
    </row>
    <row r="679" spans="1:4" x14ac:dyDescent="0.25">
      <c r="A679" t="s">
        <v>673</v>
      </c>
      <c r="B679" t="s">
        <v>2138</v>
      </c>
      <c r="C679" t="s">
        <v>745</v>
      </c>
      <c r="D679" t="str">
        <f t="shared" si="10"/>
        <v>jpg</v>
      </c>
    </row>
    <row r="680" spans="1:4" x14ac:dyDescent="0.25">
      <c r="A680" t="s">
        <v>673</v>
      </c>
      <c r="B680" t="s">
        <v>2138</v>
      </c>
      <c r="C680" t="s">
        <v>746</v>
      </c>
      <c r="D680" t="str">
        <f t="shared" si="10"/>
        <v>jpg</v>
      </c>
    </row>
    <row r="681" spans="1:4" x14ac:dyDescent="0.25">
      <c r="A681" t="s">
        <v>673</v>
      </c>
      <c r="B681" t="s">
        <v>2138</v>
      </c>
      <c r="C681" t="s">
        <v>747</v>
      </c>
      <c r="D681" t="str">
        <f t="shared" si="10"/>
        <v>jpg</v>
      </c>
    </row>
    <row r="682" spans="1:4" x14ac:dyDescent="0.25">
      <c r="A682" t="s">
        <v>673</v>
      </c>
      <c r="B682" t="s">
        <v>2138</v>
      </c>
      <c r="C682" t="s">
        <v>748</v>
      </c>
      <c r="D682" t="str">
        <f t="shared" si="10"/>
        <v>jpg</v>
      </c>
    </row>
    <row r="683" spans="1:4" x14ac:dyDescent="0.25">
      <c r="A683" t="s">
        <v>673</v>
      </c>
      <c r="B683" t="s">
        <v>2138</v>
      </c>
      <c r="C683" t="s">
        <v>749</v>
      </c>
      <c r="D683" t="str">
        <f t="shared" si="10"/>
        <v>jpg</v>
      </c>
    </row>
    <row r="684" spans="1:4" x14ac:dyDescent="0.25">
      <c r="A684" t="s">
        <v>673</v>
      </c>
      <c r="B684" t="s">
        <v>2138</v>
      </c>
      <c r="C684" t="s">
        <v>750</v>
      </c>
      <c r="D684" t="str">
        <f t="shared" si="10"/>
        <v>jpg</v>
      </c>
    </row>
    <row r="685" spans="1:4" x14ac:dyDescent="0.25">
      <c r="A685" t="s">
        <v>673</v>
      </c>
      <c r="B685" t="s">
        <v>2138</v>
      </c>
      <c r="C685" t="s">
        <v>751</v>
      </c>
      <c r="D685" t="str">
        <f t="shared" si="10"/>
        <v>jpg</v>
      </c>
    </row>
    <row r="686" spans="1:4" x14ac:dyDescent="0.25">
      <c r="A686" t="s">
        <v>673</v>
      </c>
      <c r="B686" t="s">
        <v>2138</v>
      </c>
      <c r="C686" t="s">
        <v>752</v>
      </c>
      <c r="D686" t="str">
        <f t="shared" si="10"/>
        <v>jpg</v>
      </c>
    </row>
    <row r="687" spans="1:4" x14ac:dyDescent="0.25">
      <c r="A687" t="s">
        <v>673</v>
      </c>
      <c r="B687" t="s">
        <v>2138</v>
      </c>
      <c r="C687" t="s">
        <v>753</v>
      </c>
      <c r="D687" t="str">
        <f t="shared" si="10"/>
        <v>jpg</v>
      </c>
    </row>
    <row r="688" spans="1:4" x14ac:dyDescent="0.25">
      <c r="A688" t="s">
        <v>673</v>
      </c>
      <c r="B688" t="s">
        <v>2138</v>
      </c>
      <c r="C688" t="s">
        <v>754</v>
      </c>
      <c r="D688" t="str">
        <f t="shared" si="10"/>
        <v>jpg</v>
      </c>
    </row>
    <row r="689" spans="1:4" x14ac:dyDescent="0.25">
      <c r="A689" t="s">
        <v>673</v>
      </c>
      <c r="B689" t="s">
        <v>2138</v>
      </c>
      <c r="C689" t="s">
        <v>755</v>
      </c>
      <c r="D689" t="str">
        <f t="shared" si="10"/>
        <v>jpg</v>
      </c>
    </row>
    <row r="690" spans="1:4" x14ac:dyDescent="0.25">
      <c r="A690" t="s">
        <v>673</v>
      </c>
      <c r="B690" t="s">
        <v>2138</v>
      </c>
      <c r="C690" t="s">
        <v>756</v>
      </c>
      <c r="D690" t="str">
        <f t="shared" si="10"/>
        <v>jpg</v>
      </c>
    </row>
    <row r="691" spans="1:4" x14ac:dyDescent="0.25">
      <c r="A691" t="s">
        <v>673</v>
      </c>
      <c r="B691" t="s">
        <v>2138</v>
      </c>
      <c r="C691" t="s">
        <v>757</v>
      </c>
      <c r="D691" t="str">
        <f t="shared" si="10"/>
        <v>jpg</v>
      </c>
    </row>
    <row r="692" spans="1:4" x14ac:dyDescent="0.25">
      <c r="A692" t="s">
        <v>673</v>
      </c>
      <c r="B692" t="s">
        <v>2138</v>
      </c>
      <c r="C692" t="s">
        <v>758</v>
      </c>
      <c r="D692" t="str">
        <f t="shared" si="10"/>
        <v>jpg</v>
      </c>
    </row>
    <row r="693" spans="1:4" x14ac:dyDescent="0.25">
      <c r="A693" t="s">
        <v>673</v>
      </c>
      <c r="B693" t="s">
        <v>2138</v>
      </c>
      <c r="C693" t="s">
        <v>759</v>
      </c>
      <c r="D693" t="str">
        <f t="shared" si="10"/>
        <v>jpg</v>
      </c>
    </row>
    <row r="694" spans="1:4" x14ac:dyDescent="0.25">
      <c r="A694" t="s">
        <v>673</v>
      </c>
      <c r="B694" t="s">
        <v>2138</v>
      </c>
      <c r="C694" t="s">
        <v>760</v>
      </c>
      <c r="D694" t="str">
        <f t="shared" si="10"/>
        <v>jpg</v>
      </c>
    </row>
    <row r="695" spans="1:4" x14ac:dyDescent="0.25">
      <c r="A695" t="s">
        <v>673</v>
      </c>
      <c r="B695" t="s">
        <v>2138</v>
      </c>
      <c r="C695" t="s">
        <v>761</v>
      </c>
      <c r="D695" t="str">
        <f t="shared" si="10"/>
        <v>jpg</v>
      </c>
    </row>
    <row r="696" spans="1:4" x14ac:dyDescent="0.25">
      <c r="A696" t="s">
        <v>673</v>
      </c>
      <c r="B696" t="s">
        <v>2138</v>
      </c>
      <c r="C696" t="s">
        <v>762</v>
      </c>
      <c r="D696" t="str">
        <f t="shared" si="10"/>
        <v>jpg</v>
      </c>
    </row>
    <row r="697" spans="1:4" x14ac:dyDescent="0.25">
      <c r="A697" t="s">
        <v>673</v>
      </c>
      <c r="B697" t="s">
        <v>2138</v>
      </c>
      <c r="C697" t="s">
        <v>763</v>
      </c>
      <c r="D697" t="str">
        <f t="shared" si="10"/>
        <v>jpg</v>
      </c>
    </row>
    <row r="698" spans="1:4" x14ac:dyDescent="0.25">
      <c r="A698" t="s">
        <v>673</v>
      </c>
      <c r="B698" t="s">
        <v>2138</v>
      </c>
      <c r="C698" t="s">
        <v>764</v>
      </c>
      <c r="D698" t="str">
        <f t="shared" si="10"/>
        <v>jpg</v>
      </c>
    </row>
    <row r="699" spans="1:4" x14ac:dyDescent="0.25">
      <c r="A699" t="s">
        <v>673</v>
      </c>
      <c r="B699" t="s">
        <v>2138</v>
      </c>
      <c r="C699" t="s">
        <v>765</v>
      </c>
      <c r="D699" t="str">
        <f t="shared" si="10"/>
        <v>jpg</v>
      </c>
    </row>
    <row r="700" spans="1:4" x14ac:dyDescent="0.25">
      <c r="A700" t="s">
        <v>673</v>
      </c>
      <c r="B700" t="s">
        <v>2138</v>
      </c>
      <c r="C700" t="s">
        <v>766</v>
      </c>
      <c r="D700" t="str">
        <f t="shared" si="10"/>
        <v>jpg</v>
      </c>
    </row>
    <row r="701" spans="1:4" x14ac:dyDescent="0.25">
      <c r="A701" t="s">
        <v>673</v>
      </c>
      <c r="B701" t="s">
        <v>2138</v>
      </c>
      <c r="C701" t="s">
        <v>767</v>
      </c>
      <c r="D701" t="str">
        <f t="shared" si="10"/>
        <v>jpg</v>
      </c>
    </row>
    <row r="702" spans="1:4" x14ac:dyDescent="0.25">
      <c r="A702" t="s">
        <v>673</v>
      </c>
      <c r="B702" t="s">
        <v>2138</v>
      </c>
      <c r="C702" t="s">
        <v>768</v>
      </c>
      <c r="D702" t="str">
        <f t="shared" si="10"/>
        <v>jpg</v>
      </c>
    </row>
    <row r="703" spans="1:4" x14ac:dyDescent="0.25">
      <c r="A703" t="s">
        <v>673</v>
      </c>
      <c r="B703" t="s">
        <v>2138</v>
      </c>
      <c r="C703" t="s">
        <v>769</v>
      </c>
      <c r="D703" t="str">
        <f t="shared" si="10"/>
        <v>jpg</v>
      </c>
    </row>
    <row r="704" spans="1:4" x14ac:dyDescent="0.25">
      <c r="A704" t="s">
        <v>673</v>
      </c>
      <c r="B704" t="s">
        <v>2138</v>
      </c>
      <c r="C704" t="s">
        <v>770</v>
      </c>
      <c r="D704" t="str">
        <f t="shared" si="10"/>
        <v>jpg</v>
      </c>
    </row>
    <row r="705" spans="1:4" x14ac:dyDescent="0.25">
      <c r="A705" t="s">
        <v>673</v>
      </c>
      <c r="B705" t="s">
        <v>2138</v>
      </c>
      <c r="C705" t="s">
        <v>771</v>
      </c>
      <c r="D705" t="str">
        <f t="shared" si="10"/>
        <v>jpg</v>
      </c>
    </row>
    <row r="706" spans="1:4" x14ac:dyDescent="0.25">
      <c r="A706" t="s">
        <v>673</v>
      </c>
      <c r="B706" t="s">
        <v>2138</v>
      </c>
      <c r="C706" t="s">
        <v>772</v>
      </c>
      <c r="D706" t="str">
        <f t="shared" si="10"/>
        <v>jpg</v>
      </c>
    </row>
    <row r="707" spans="1:4" x14ac:dyDescent="0.25">
      <c r="A707" t="s">
        <v>673</v>
      </c>
      <c r="B707" t="s">
        <v>2138</v>
      </c>
      <c r="C707" t="s">
        <v>773</v>
      </c>
      <c r="D707" t="str">
        <f t="shared" ref="D707:D770" si="11">IF(ISNUMBER(SEARCH(".pdf",C707)),"pdf",IF(ISNUMBER(SEARCH(".tif",C707)),"tif",IF(ISNUMBER(SEARCH(".las",C707)),"las",IF(ISNUMBER(SEARCH(".sdg",C707)),"sdg",IF(ISNUMBER(SEARCH(".xlsx",C707)),"xlsx",IF(ISNUMBER(SEARCH(".docx",C707)),"docx",IF(ISNUMBER(SEARCH(".rhistory",C707)),"rhistory",IF(ISNUMBER(SEARCH(".db",C707)),"db",IF(ISNUMBER(SEARCH(".jpg",C707)),"jpg",IF(ISNUMBER(SEARCH(".png",C707)),"png",IF(ISNUMBER(SEARCH(".mdb",C707)),"mdb",IF(ISNUMBER(SEARCH(".xml",C707)),"xml",IF(ISNUMBER(SEARCH(".xls",C707)),"xls",IF(ISNUMBER(SEARCH(".txt",C707)),"txt",IF(ISNUMBER(SEARCH(".tsf",C707)),"tsf",IF(ISNUMBER(SEARCH(".sch",C707)),"sch","ZIP oder R"))))))))))))))))</f>
        <v>jpg</v>
      </c>
    </row>
    <row r="708" spans="1:4" x14ac:dyDescent="0.25">
      <c r="A708" t="s">
        <v>673</v>
      </c>
      <c r="B708" t="s">
        <v>2138</v>
      </c>
      <c r="C708" t="s">
        <v>774</v>
      </c>
      <c r="D708" t="str">
        <f t="shared" si="11"/>
        <v>jpg</v>
      </c>
    </row>
    <row r="709" spans="1:4" x14ac:dyDescent="0.25">
      <c r="A709" t="s">
        <v>673</v>
      </c>
      <c r="B709" t="s">
        <v>2138</v>
      </c>
      <c r="C709" t="s">
        <v>775</v>
      </c>
      <c r="D709" t="str">
        <f t="shared" si="11"/>
        <v>txt</v>
      </c>
    </row>
    <row r="710" spans="1:4" x14ac:dyDescent="0.25">
      <c r="A710" t="s">
        <v>776</v>
      </c>
      <c r="B710" t="s">
        <v>2138</v>
      </c>
      <c r="C710" t="s">
        <v>777</v>
      </c>
      <c r="D710" t="str">
        <f t="shared" si="11"/>
        <v>pdf</v>
      </c>
    </row>
    <row r="711" spans="1:4" x14ac:dyDescent="0.25">
      <c r="A711" t="s">
        <v>776</v>
      </c>
      <c r="B711" t="s">
        <v>2138</v>
      </c>
      <c r="C711" t="s">
        <v>778</v>
      </c>
      <c r="D711" t="str">
        <f t="shared" si="11"/>
        <v>txt</v>
      </c>
    </row>
    <row r="712" spans="1:4" x14ac:dyDescent="0.25">
      <c r="A712" t="s">
        <v>779</v>
      </c>
      <c r="B712" t="s">
        <v>2138</v>
      </c>
      <c r="C712" t="s">
        <v>780</v>
      </c>
      <c r="D712" t="str">
        <f t="shared" si="11"/>
        <v>pdf</v>
      </c>
    </row>
    <row r="713" spans="1:4" x14ac:dyDescent="0.25">
      <c r="A713" t="s">
        <v>779</v>
      </c>
      <c r="B713" t="s">
        <v>2138</v>
      </c>
      <c r="C713" t="s">
        <v>781</v>
      </c>
      <c r="D713" t="str">
        <f t="shared" si="11"/>
        <v>txt</v>
      </c>
    </row>
    <row r="714" spans="1:4" x14ac:dyDescent="0.25">
      <c r="A714" t="s">
        <v>782</v>
      </c>
      <c r="B714" t="s">
        <v>2138</v>
      </c>
      <c r="C714" t="s">
        <v>783</v>
      </c>
      <c r="D714" t="str">
        <f t="shared" si="11"/>
        <v>sdg</v>
      </c>
    </row>
    <row r="715" spans="1:4" x14ac:dyDescent="0.25">
      <c r="A715" t="s">
        <v>784</v>
      </c>
      <c r="B715" t="s">
        <v>2139</v>
      </c>
      <c r="C715" t="s">
        <v>785</v>
      </c>
      <c r="D715" t="str">
        <f t="shared" si="11"/>
        <v>pdf</v>
      </c>
    </row>
    <row r="716" spans="1:4" x14ac:dyDescent="0.25">
      <c r="A716" t="s">
        <v>784</v>
      </c>
      <c r="B716" t="s">
        <v>2139</v>
      </c>
      <c r="C716" t="s">
        <v>786</v>
      </c>
      <c r="D716" t="str">
        <f t="shared" si="11"/>
        <v>las</v>
      </c>
    </row>
    <row r="717" spans="1:4" x14ac:dyDescent="0.25">
      <c r="A717" t="s">
        <v>784</v>
      </c>
      <c r="B717" t="s">
        <v>2139</v>
      </c>
      <c r="C717" t="s">
        <v>787</v>
      </c>
      <c r="D717" t="str">
        <f t="shared" si="11"/>
        <v>las</v>
      </c>
    </row>
    <row r="718" spans="1:4" x14ac:dyDescent="0.25">
      <c r="A718" t="s">
        <v>784</v>
      </c>
      <c r="B718" t="s">
        <v>2139</v>
      </c>
      <c r="C718" t="s">
        <v>788</v>
      </c>
      <c r="D718" t="str">
        <f t="shared" si="11"/>
        <v>las</v>
      </c>
    </row>
    <row r="719" spans="1:4" x14ac:dyDescent="0.25">
      <c r="A719" t="s">
        <v>784</v>
      </c>
      <c r="B719" t="s">
        <v>2139</v>
      </c>
      <c r="C719" t="s">
        <v>789</v>
      </c>
      <c r="D719" t="str">
        <f t="shared" si="11"/>
        <v>pdf</v>
      </c>
    </row>
    <row r="720" spans="1:4" x14ac:dyDescent="0.25">
      <c r="A720" t="s">
        <v>784</v>
      </c>
      <c r="B720" t="s">
        <v>2139</v>
      </c>
      <c r="C720" t="s">
        <v>790</v>
      </c>
      <c r="D720" t="str">
        <f t="shared" si="11"/>
        <v>sdg</v>
      </c>
    </row>
    <row r="721" spans="1:4" x14ac:dyDescent="0.25">
      <c r="A721" t="s">
        <v>784</v>
      </c>
      <c r="B721" t="s">
        <v>2139</v>
      </c>
      <c r="C721" t="s">
        <v>791</v>
      </c>
      <c r="D721" t="str">
        <f t="shared" si="11"/>
        <v>xlsx</v>
      </c>
    </row>
    <row r="722" spans="1:4" x14ac:dyDescent="0.25">
      <c r="A722" t="s">
        <v>792</v>
      </c>
      <c r="B722" t="s">
        <v>2140</v>
      </c>
      <c r="C722" t="s">
        <v>793</v>
      </c>
      <c r="D722" t="str">
        <f t="shared" si="11"/>
        <v>pdf</v>
      </c>
    </row>
    <row r="723" spans="1:4" x14ac:dyDescent="0.25">
      <c r="A723" t="s">
        <v>792</v>
      </c>
      <c r="B723" t="s">
        <v>2140</v>
      </c>
      <c r="C723" t="s">
        <v>794</v>
      </c>
      <c r="D723" t="str">
        <f t="shared" si="11"/>
        <v>pdf</v>
      </c>
    </row>
    <row r="724" spans="1:4" x14ac:dyDescent="0.25">
      <c r="A724" t="s">
        <v>792</v>
      </c>
      <c r="B724" t="s">
        <v>2140</v>
      </c>
      <c r="C724" t="s">
        <v>795</v>
      </c>
      <c r="D724" t="str">
        <f t="shared" si="11"/>
        <v>tif</v>
      </c>
    </row>
    <row r="725" spans="1:4" x14ac:dyDescent="0.25">
      <c r="A725" t="s">
        <v>792</v>
      </c>
      <c r="B725" t="s">
        <v>2140</v>
      </c>
      <c r="C725" t="s">
        <v>796</v>
      </c>
      <c r="D725" t="str">
        <f t="shared" si="11"/>
        <v>tif</v>
      </c>
    </row>
    <row r="726" spans="1:4" x14ac:dyDescent="0.25">
      <c r="A726" t="s">
        <v>792</v>
      </c>
      <c r="B726" t="s">
        <v>2140</v>
      </c>
      <c r="C726" t="s">
        <v>797</v>
      </c>
      <c r="D726" t="str">
        <f t="shared" si="11"/>
        <v>tif</v>
      </c>
    </row>
    <row r="727" spans="1:4" x14ac:dyDescent="0.25">
      <c r="A727" t="s">
        <v>792</v>
      </c>
      <c r="B727" t="s">
        <v>2140</v>
      </c>
      <c r="C727" t="s">
        <v>798</v>
      </c>
      <c r="D727" t="str">
        <f t="shared" si="11"/>
        <v>tif</v>
      </c>
    </row>
    <row r="728" spans="1:4" x14ac:dyDescent="0.25">
      <c r="A728" t="s">
        <v>792</v>
      </c>
      <c r="B728" t="s">
        <v>2140</v>
      </c>
      <c r="C728" t="s">
        <v>799</v>
      </c>
      <c r="D728" t="str">
        <f t="shared" si="11"/>
        <v>tif</v>
      </c>
    </row>
    <row r="729" spans="1:4" x14ac:dyDescent="0.25">
      <c r="A729" t="s">
        <v>792</v>
      </c>
      <c r="B729" t="s">
        <v>2140</v>
      </c>
      <c r="C729" t="s">
        <v>800</v>
      </c>
      <c r="D729" t="str">
        <f t="shared" si="11"/>
        <v>pdf</v>
      </c>
    </row>
    <row r="730" spans="1:4" x14ac:dyDescent="0.25">
      <c r="A730" t="s">
        <v>801</v>
      </c>
      <c r="B730" t="s">
        <v>2141</v>
      </c>
      <c r="C730" t="s">
        <v>802</v>
      </c>
      <c r="D730" t="str">
        <f t="shared" si="11"/>
        <v>pdf</v>
      </c>
    </row>
    <row r="731" spans="1:4" x14ac:dyDescent="0.25">
      <c r="A731" t="s">
        <v>801</v>
      </c>
      <c r="B731" t="s">
        <v>2141</v>
      </c>
      <c r="C731" t="s">
        <v>803</v>
      </c>
      <c r="D731" t="str">
        <f t="shared" si="11"/>
        <v>pdf</v>
      </c>
    </row>
    <row r="732" spans="1:4" x14ac:dyDescent="0.25">
      <c r="A732" t="s">
        <v>801</v>
      </c>
      <c r="B732" t="s">
        <v>2141</v>
      </c>
      <c r="C732" t="s">
        <v>804</v>
      </c>
      <c r="D732" t="str">
        <f t="shared" si="11"/>
        <v>jpg</v>
      </c>
    </row>
    <row r="733" spans="1:4" x14ac:dyDescent="0.25">
      <c r="A733" t="s">
        <v>801</v>
      </c>
      <c r="B733" t="s">
        <v>2141</v>
      </c>
      <c r="C733" t="s">
        <v>805</v>
      </c>
      <c r="D733" t="str">
        <f t="shared" si="11"/>
        <v>tif</v>
      </c>
    </row>
    <row r="734" spans="1:4" x14ac:dyDescent="0.25">
      <c r="A734" t="s">
        <v>801</v>
      </c>
      <c r="B734" t="s">
        <v>2141</v>
      </c>
      <c r="C734" t="s">
        <v>806</v>
      </c>
      <c r="D734" t="str">
        <f t="shared" si="11"/>
        <v>tif</v>
      </c>
    </row>
    <row r="735" spans="1:4" x14ac:dyDescent="0.25">
      <c r="A735" t="s">
        <v>801</v>
      </c>
      <c r="B735" t="s">
        <v>2141</v>
      </c>
      <c r="C735" t="s">
        <v>807</v>
      </c>
      <c r="D735" t="str">
        <f t="shared" si="11"/>
        <v>tif</v>
      </c>
    </row>
    <row r="736" spans="1:4" x14ac:dyDescent="0.25">
      <c r="A736" t="s">
        <v>801</v>
      </c>
      <c r="B736" t="s">
        <v>2141</v>
      </c>
      <c r="C736" t="s">
        <v>808</v>
      </c>
      <c r="D736" t="str">
        <f t="shared" si="11"/>
        <v>tif</v>
      </c>
    </row>
    <row r="737" spans="1:4" x14ac:dyDescent="0.25">
      <c r="A737" t="s">
        <v>801</v>
      </c>
      <c r="B737" t="s">
        <v>2141</v>
      </c>
      <c r="C737" t="s">
        <v>809</v>
      </c>
      <c r="D737" t="str">
        <f t="shared" si="11"/>
        <v>tif</v>
      </c>
    </row>
    <row r="738" spans="1:4" x14ac:dyDescent="0.25">
      <c r="A738" t="s">
        <v>801</v>
      </c>
      <c r="B738" t="s">
        <v>2141</v>
      </c>
      <c r="C738" t="s">
        <v>810</v>
      </c>
      <c r="D738" t="str">
        <f t="shared" si="11"/>
        <v>tif</v>
      </c>
    </row>
    <row r="739" spans="1:4" x14ac:dyDescent="0.25">
      <c r="A739" t="s">
        <v>801</v>
      </c>
      <c r="B739" t="s">
        <v>2141</v>
      </c>
      <c r="C739" t="s">
        <v>811</v>
      </c>
      <c r="D739" t="str">
        <f t="shared" si="11"/>
        <v>pdf</v>
      </c>
    </row>
    <row r="740" spans="1:4" x14ac:dyDescent="0.25">
      <c r="A740" t="s">
        <v>812</v>
      </c>
      <c r="B740" t="s">
        <v>2142</v>
      </c>
      <c r="C740" t="s">
        <v>813</v>
      </c>
      <c r="D740" t="str">
        <f t="shared" si="11"/>
        <v>pdf</v>
      </c>
    </row>
    <row r="741" spans="1:4" x14ac:dyDescent="0.25">
      <c r="A741" t="s">
        <v>812</v>
      </c>
      <c r="B741" t="s">
        <v>2142</v>
      </c>
      <c r="C741" t="s">
        <v>814</v>
      </c>
      <c r="D741" t="str">
        <f t="shared" si="11"/>
        <v>pdf</v>
      </c>
    </row>
    <row r="742" spans="1:4" x14ac:dyDescent="0.25">
      <c r="A742" t="s">
        <v>812</v>
      </c>
      <c r="B742" t="s">
        <v>2142</v>
      </c>
      <c r="C742" t="s">
        <v>815</v>
      </c>
      <c r="D742" t="str">
        <f t="shared" si="11"/>
        <v>pdf</v>
      </c>
    </row>
    <row r="743" spans="1:4" x14ac:dyDescent="0.25">
      <c r="A743" t="s">
        <v>812</v>
      </c>
      <c r="B743" t="s">
        <v>2142</v>
      </c>
      <c r="C743" t="s">
        <v>816</v>
      </c>
      <c r="D743" t="str">
        <f t="shared" si="11"/>
        <v>pdf</v>
      </c>
    </row>
    <row r="744" spans="1:4" x14ac:dyDescent="0.25">
      <c r="A744" t="s">
        <v>812</v>
      </c>
      <c r="B744" t="s">
        <v>2142</v>
      </c>
      <c r="C744" t="s">
        <v>817</v>
      </c>
      <c r="D744" t="str">
        <f t="shared" si="11"/>
        <v>jpg</v>
      </c>
    </row>
    <row r="745" spans="1:4" x14ac:dyDescent="0.25">
      <c r="A745" t="s">
        <v>812</v>
      </c>
      <c r="B745" t="s">
        <v>2142</v>
      </c>
      <c r="C745" t="s">
        <v>818</v>
      </c>
      <c r="D745" t="str">
        <f t="shared" si="11"/>
        <v>jpg</v>
      </c>
    </row>
    <row r="746" spans="1:4" x14ac:dyDescent="0.25">
      <c r="A746" t="s">
        <v>812</v>
      </c>
      <c r="B746" t="s">
        <v>2142</v>
      </c>
      <c r="C746" t="s">
        <v>819</v>
      </c>
      <c r="D746" t="str">
        <f t="shared" si="11"/>
        <v>jpg</v>
      </c>
    </row>
    <row r="747" spans="1:4" x14ac:dyDescent="0.25">
      <c r="A747" t="s">
        <v>812</v>
      </c>
      <c r="B747" t="s">
        <v>2142</v>
      </c>
      <c r="C747" t="s">
        <v>820</v>
      </c>
      <c r="D747" t="str">
        <f t="shared" si="11"/>
        <v>jpg</v>
      </c>
    </row>
    <row r="748" spans="1:4" x14ac:dyDescent="0.25">
      <c r="A748" t="s">
        <v>812</v>
      </c>
      <c r="B748" t="s">
        <v>2142</v>
      </c>
      <c r="C748" t="s">
        <v>821</v>
      </c>
      <c r="D748" t="str">
        <f t="shared" si="11"/>
        <v>jpg</v>
      </c>
    </row>
    <row r="749" spans="1:4" x14ac:dyDescent="0.25">
      <c r="A749" t="s">
        <v>812</v>
      </c>
      <c r="B749" t="s">
        <v>2142</v>
      </c>
      <c r="C749" t="s">
        <v>822</v>
      </c>
      <c r="D749" t="str">
        <f t="shared" si="11"/>
        <v>jpg</v>
      </c>
    </row>
    <row r="750" spans="1:4" x14ac:dyDescent="0.25">
      <c r="A750" t="s">
        <v>812</v>
      </c>
      <c r="B750" t="s">
        <v>2142</v>
      </c>
      <c r="C750" t="s">
        <v>823</v>
      </c>
      <c r="D750" t="str">
        <f t="shared" si="11"/>
        <v>pdf</v>
      </c>
    </row>
    <row r="751" spans="1:4" x14ac:dyDescent="0.25">
      <c r="A751" t="s">
        <v>824</v>
      </c>
      <c r="B751" t="s">
        <v>2271</v>
      </c>
      <c r="C751" t="s">
        <v>825</v>
      </c>
      <c r="D751" t="str">
        <f t="shared" si="11"/>
        <v>xlsx</v>
      </c>
    </row>
    <row r="752" spans="1:4" x14ac:dyDescent="0.25">
      <c r="A752" t="s">
        <v>826</v>
      </c>
      <c r="B752" t="s">
        <v>2143</v>
      </c>
      <c r="C752" t="s">
        <v>827</v>
      </c>
      <c r="D752" t="str">
        <f t="shared" si="11"/>
        <v>pdf</v>
      </c>
    </row>
    <row r="753" spans="1:4" x14ac:dyDescent="0.25">
      <c r="A753" t="s">
        <v>828</v>
      </c>
      <c r="B753" t="s">
        <v>2144</v>
      </c>
      <c r="C753" t="s">
        <v>829</v>
      </c>
      <c r="D753" t="str">
        <f t="shared" si="11"/>
        <v>pdf</v>
      </c>
    </row>
    <row r="754" spans="1:4" x14ac:dyDescent="0.25">
      <c r="A754" t="s">
        <v>828</v>
      </c>
      <c r="B754" t="s">
        <v>2144</v>
      </c>
      <c r="C754" t="s">
        <v>830</v>
      </c>
      <c r="D754" t="str">
        <f t="shared" si="11"/>
        <v>las</v>
      </c>
    </row>
    <row r="755" spans="1:4" x14ac:dyDescent="0.25">
      <c r="A755" t="s">
        <v>828</v>
      </c>
      <c r="B755" t="s">
        <v>2144</v>
      </c>
      <c r="C755" t="s">
        <v>831</v>
      </c>
      <c r="D755" t="str">
        <f t="shared" si="11"/>
        <v>las</v>
      </c>
    </row>
    <row r="756" spans="1:4" x14ac:dyDescent="0.25">
      <c r="A756" t="s">
        <v>828</v>
      </c>
      <c r="B756" t="s">
        <v>2144</v>
      </c>
      <c r="C756" t="s">
        <v>832</v>
      </c>
      <c r="D756" t="str">
        <f t="shared" si="11"/>
        <v>las</v>
      </c>
    </row>
    <row r="757" spans="1:4" x14ac:dyDescent="0.25">
      <c r="A757" t="s">
        <v>828</v>
      </c>
      <c r="B757" t="s">
        <v>2144</v>
      </c>
      <c r="C757" t="s">
        <v>833</v>
      </c>
      <c r="D757" t="str">
        <f t="shared" si="11"/>
        <v>las</v>
      </c>
    </row>
    <row r="758" spans="1:4" x14ac:dyDescent="0.25">
      <c r="A758" t="s">
        <v>828</v>
      </c>
      <c r="B758" t="s">
        <v>2144</v>
      </c>
      <c r="C758" t="s">
        <v>834</v>
      </c>
      <c r="D758" t="str">
        <f t="shared" si="11"/>
        <v>sdg</v>
      </c>
    </row>
    <row r="759" spans="1:4" x14ac:dyDescent="0.25">
      <c r="A759" t="s">
        <v>828</v>
      </c>
      <c r="B759" t="s">
        <v>2144</v>
      </c>
      <c r="C759" t="s">
        <v>835</v>
      </c>
      <c r="D759" t="str">
        <f t="shared" si="11"/>
        <v>xlsx</v>
      </c>
    </row>
    <row r="760" spans="1:4" x14ac:dyDescent="0.25">
      <c r="A760" t="s">
        <v>836</v>
      </c>
      <c r="B760" t="s">
        <v>2145</v>
      </c>
      <c r="C760" t="s">
        <v>837</v>
      </c>
      <c r="D760" t="str">
        <f t="shared" si="11"/>
        <v>pdf</v>
      </c>
    </row>
    <row r="761" spans="1:4" x14ac:dyDescent="0.25">
      <c r="A761" t="s">
        <v>836</v>
      </c>
      <c r="B761" t="s">
        <v>2145</v>
      </c>
      <c r="C761" t="s">
        <v>838</v>
      </c>
      <c r="D761" t="str">
        <f t="shared" si="11"/>
        <v>pdf</v>
      </c>
    </row>
    <row r="762" spans="1:4" x14ac:dyDescent="0.25">
      <c r="A762" t="s">
        <v>836</v>
      </c>
      <c r="B762" t="s">
        <v>2145</v>
      </c>
      <c r="C762" t="s">
        <v>839</v>
      </c>
      <c r="D762" t="str">
        <f t="shared" si="11"/>
        <v>pdf</v>
      </c>
    </row>
    <row r="763" spans="1:4" x14ac:dyDescent="0.25">
      <c r="A763" t="s">
        <v>840</v>
      </c>
      <c r="B763" t="s">
        <v>2146</v>
      </c>
      <c r="C763" t="s">
        <v>841</v>
      </c>
      <c r="D763" t="str">
        <f t="shared" si="11"/>
        <v>pdf</v>
      </c>
    </row>
    <row r="764" spans="1:4" x14ac:dyDescent="0.25">
      <c r="A764" t="s">
        <v>840</v>
      </c>
      <c r="B764" t="s">
        <v>2146</v>
      </c>
      <c r="C764" t="s">
        <v>842</v>
      </c>
      <c r="D764" t="str">
        <f t="shared" si="11"/>
        <v>pdf</v>
      </c>
    </row>
    <row r="765" spans="1:4" x14ac:dyDescent="0.25">
      <c r="A765" t="s">
        <v>840</v>
      </c>
      <c r="B765" t="s">
        <v>2146</v>
      </c>
      <c r="C765" t="s">
        <v>843</v>
      </c>
      <c r="D765" t="str">
        <f t="shared" si="11"/>
        <v>pdf</v>
      </c>
    </row>
    <row r="766" spans="1:4" x14ac:dyDescent="0.25">
      <c r="A766" t="s">
        <v>840</v>
      </c>
      <c r="B766" t="s">
        <v>2146</v>
      </c>
      <c r="C766" t="s">
        <v>844</v>
      </c>
      <c r="D766" t="str">
        <f t="shared" si="11"/>
        <v>pdf</v>
      </c>
    </row>
    <row r="767" spans="1:4" x14ac:dyDescent="0.25">
      <c r="A767" t="s">
        <v>840</v>
      </c>
      <c r="B767" t="s">
        <v>2146</v>
      </c>
      <c r="C767" t="s">
        <v>845</v>
      </c>
      <c r="D767" t="str">
        <f t="shared" si="11"/>
        <v>pdf</v>
      </c>
    </row>
    <row r="768" spans="1:4" x14ac:dyDescent="0.25">
      <c r="A768" t="s">
        <v>840</v>
      </c>
      <c r="B768" t="s">
        <v>2146</v>
      </c>
      <c r="C768" t="s">
        <v>846</v>
      </c>
      <c r="D768" t="str">
        <f t="shared" si="11"/>
        <v>pdf</v>
      </c>
    </row>
    <row r="769" spans="1:4" x14ac:dyDescent="0.25">
      <c r="A769" t="s">
        <v>840</v>
      </c>
      <c r="B769" t="s">
        <v>2146</v>
      </c>
      <c r="C769" t="s">
        <v>847</v>
      </c>
      <c r="D769" t="str">
        <f t="shared" si="11"/>
        <v>pdf</v>
      </c>
    </row>
    <row r="770" spans="1:4" x14ac:dyDescent="0.25">
      <c r="A770" t="s">
        <v>840</v>
      </c>
      <c r="B770" t="s">
        <v>2146</v>
      </c>
      <c r="C770" t="s">
        <v>848</v>
      </c>
      <c r="D770" t="str">
        <f t="shared" si="11"/>
        <v>pdf</v>
      </c>
    </row>
    <row r="771" spans="1:4" x14ac:dyDescent="0.25">
      <c r="A771" t="s">
        <v>840</v>
      </c>
      <c r="B771" t="s">
        <v>2146</v>
      </c>
      <c r="C771" t="s">
        <v>849</v>
      </c>
      <c r="D771" t="str">
        <f t="shared" ref="D771:D834" si="12">IF(ISNUMBER(SEARCH(".pdf",C771)),"pdf",IF(ISNUMBER(SEARCH(".tif",C771)),"tif",IF(ISNUMBER(SEARCH(".las",C771)),"las",IF(ISNUMBER(SEARCH(".sdg",C771)),"sdg",IF(ISNUMBER(SEARCH(".xlsx",C771)),"xlsx",IF(ISNUMBER(SEARCH(".docx",C771)),"docx",IF(ISNUMBER(SEARCH(".rhistory",C771)),"rhistory",IF(ISNUMBER(SEARCH(".db",C771)),"db",IF(ISNUMBER(SEARCH(".jpg",C771)),"jpg",IF(ISNUMBER(SEARCH(".png",C771)),"png",IF(ISNUMBER(SEARCH(".mdb",C771)),"mdb",IF(ISNUMBER(SEARCH(".xml",C771)),"xml",IF(ISNUMBER(SEARCH(".xls",C771)),"xls",IF(ISNUMBER(SEARCH(".txt",C771)),"txt",IF(ISNUMBER(SEARCH(".tsf",C771)),"tsf",IF(ISNUMBER(SEARCH(".sch",C771)),"sch","ZIP oder R"))))))))))))))))</f>
        <v>pdf</v>
      </c>
    </row>
    <row r="772" spans="1:4" x14ac:dyDescent="0.25">
      <c r="A772" t="s">
        <v>840</v>
      </c>
      <c r="B772" t="s">
        <v>2146</v>
      </c>
      <c r="C772" t="s">
        <v>850</v>
      </c>
      <c r="D772" t="str">
        <f t="shared" si="12"/>
        <v>pdf</v>
      </c>
    </row>
    <row r="773" spans="1:4" x14ac:dyDescent="0.25">
      <c r="A773" t="s">
        <v>840</v>
      </c>
      <c r="B773" t="s">
        <v>2146</v>
      </c>
      <c r="C773" t="s">
        <v>851</v>
      </c>
      <c r="D773" t="str">
        <f t="shared" si="12"/>
        <v>pdf</v>
      </c>
    </row>
    <row r="774" spans="1:4" x14ac:dyDescent="0.25">
      <c r="A774" t="s">
        <v>840</v>
      </c>
      <c r="B774" t="s">
        <v>2146</v>
      </c>
      <c r="C774" t="s">
        <v>852</v>
      </c>
      <c r="D774" t="str">
        <f t="shared" si="12"/>
        <v>pdf</v>
      </c>
    </row>
    <row r="775" spans="1:4" x14ac:dyDescent="0.25">
      <c r="A775" t="s">
        <v>853</v>
      </c>
      <c r="B775" t="s">
        <v>2147</v>
      </c>
      <c r="C775" t="s">
        <v>854</v>
      </c>
      <c r="D775" t="str">
        <f t="shared" si="12"/>
        <v>tif</v>
      </c>
    </row>
    <row r="776" spans="1:4" x14ac:dyDescent="0.25">
      <c r="A776" t="s">
        <v>853</v>
      </c>
      <c r="B776" t="s">
        <v>2147</v>
      </c>
      <c r="C776" t="s">
        <v>855</v>
      </c>
      <c r="D776" t="str">
        <f t="shared" si="12"/>
        <v>tif</v>
      </c>
    </row>
    <row r="777" spans="1:4" x14ac:dyDescent="0.25">
      <c r="A777" t="s">
        <v>853</v>
      </c>
      <c r="B777" t="s">
        <v>2147</v>
      </c>
      <c r="C777" t="s">
        <v>856</v>
      </c>
      <c r="D777" t="str">
        <f t="shared" si="12"/>
        <v>tif</v>
      </c>
    </row>
    <row r="778" spans="1:4" x14ac:dyDescent="0.25">
      <c r="A778" t="s">
        <v>853</v>
      </c>
      <c r="B778" t="s">
        <v>2147</v>
      </c>
      <c r="C778" t="s">
        <v>857</v>
      </c>
      <c r="D778" t="str">
        <f t="shared" si="12"/>
        <v>tif</v>
      </c>
    </row>
    <row r="779" spans="1:4" x14ac:dyDescent="0.25">
      <c r="A779" t="s">
        <v>853</v>
      </c>
      <c r="B779" t="s">
        <v>2147</v>
      </c>
      <c r="C779" t="s">
        <v>858</v>
      </c>
      <c r="D779" t="str">
        <f t="shared" si="12"/>
        <v>tif</v>
      </c>
    </row>
    <row r="780" spans="1:4" x14ac:dyDescent="0.25">
      <c r="A780" t="s">
        <v>853</v>
      </c>
      <c r="B780" t="s">
        <v>2147</v>
      </c>
      <c r="C780" t="s">
        <v>859</v>
      </c>
      <c r="D780" t="str">
        <f t="shared" si="12"/>
        <v>tif</v>
      </c>
    </row>
    <row r="781" spans="1:4" x14ac:dyDescent="0.25">
      <c r="A781" t="s">
        <v>853</v>
      </c>
      <c r="B781" t="s">
        <v>2147</v>
      </c>
      <c r="C781" t="s">
        <v>860</v>
      </c>
      <c r="D781" t="str">
        <f t="shared" si="12"/>
        <v>tif</v>
      </c>
    </row>
    <row r="782" spans="1:4" x14ac:dyDescent="0.25">
      <c r="A782" t="s">
        <v>853</v>
      </c>
      <c r="B782" t="s">
        <v>2147</v>
      </c>
      <c r="C782" t="s">
        <v>861</v>
      </c>
      <c r="D782" t="str">
        <f t="shared" si="12"/>
        <v>tif</v>
      </c>
    </row>
    <row r="783" spans="1:4" x14ac:dyDescent="0.25">
      <c r="A783" t="s">
        <v>853</v>
      </c>
      <c r="B783" t="s">
        <v>2147</v>
      </c>
      <c r="C783" t="s">
        <v>862</v>
      </c>
      <c r="D783" t="str">
        <f t="shared" si="12"/>
        <v>tif</v>
      </c>
    </row>
    <row r="784" spans="1:4" x14ac:dyDescent="0.25">
      <c r="A784" t="s">
        <v>853</v>
      </c>
      <c r="B784" t="s">
        <v>2147</v>
      </c>
      <c r="C784" t="s">
        <v>863</v>
      </c>
      <c r="D784" t="str">
        <f t="shared" si="12"/>
        <v>tif</v>
      </c>
    </row>
    <row r="785" spans="1:4" x14ac:dyDescent="0.25">
      <c r="A785" t="s">
        <v>853</v>
      </c>
      <c r="B785" t="s">
        <v>2147</v>
      </c>
      <c r="C785" t="s">
        <v>864</v>
      </c>
      <c r="D785" t="str">
        <f t="shared" si="12"/>
        <v>tif</v>
      </c>
    </row>
    <row r="786" spans="1:4" x14ac:dyDescent="0.25">
      <c r="A786" t="s">
        <v>853</v>
      </c>
      <c r="B786" t="s">
        <v>2147</v>
      </c>
      <c r="C786" t="s">
        <v>865</v>
      </c>
      <c r="D786" t="str">
        <f t="shared" si="12"/>
        <v>tif</v>
      </c>
    </row>
    <row r="787" spans="1:4" x14ac:dyDescent="0.25">
      <c r="A787" t="s">
        <v>853</v>
      </c>
      <c r="B787" t="s">
        <v>2147</v>
      </c>
      <c r="C787" t="s">
        <v>866</v>
      </c>
      <c r="D787" t="str">
        <f t="shared" si="12"/>
        <v>tif</v>
      </c>
    </row>
    <row r="788" spans="1:4" x14ac:dyDescent="0.25">
      <c r="A788" t="s">
        <v>853</v>
      </c>
      <c r="B788" t="s">
        <v>2147</v>
      </c>
      <c r="C788" t="s">
        <v>867</v>
      </c>
      <c r="D788" t="str">
        <f t="shared" si="12"/>
        <v>pdf</v>
      </c>
    </row>
    <row r="789" spans="1:4" x14ac:dyDescent="0.25">
      <c r="A789" t="s">
        <v>868</v>
      </c>
      <c r="B789" t="s">
        <v>2148</v>
      </c>
      <c r="C789" t="s">
        <v>869</v>
      </c>
      <c r="D789" t="str">
        <f t="shared" si="12"/>
        <v>pdf</v>
      </c>
    </row>
    <row r="790" spans="1:4" x14ac:dyDescent="0.25">
      <c r="A790" t="s">
        <v>870</v>
      </c>
      <c r="B790" t="s">
        <v>2149</v>
      </c>
      <c r="C790" t="s">
        <v>871</v>
      </c>
      <c r="D790" t="str">
        <f t="shared" si="12"/>
        <v>las</v>
      </c>
    </row>
    <row r="791" spans="1:4" x14ac:dyDescent="0.25">
      <c r="A791" t="s">
        <v>870</v>
      </c>
      <c r="B791" t="s">
        <v>2149</v>
      </c>
      <c r="C791" t="s">
        <v>872</v>
      </c>
      <c r="D791" t="str">
        <f t="shared" si="12"/>
        <v>las</v>
      </c>
    </row>
    <row r="792" spans="1:4" x14ac:dyDescent="0.25">
      <c r="A792" t="s">
        <v>870</v>
      </c>
      <c r="B792" t="s">
        <v>2149</v>
      </c>
      <c r="C792" t="s">
        <v>873</v>
      </c>
      <c r="D792" t="str">
        <f t="shared" si="12"/>
        <v>sdg</v>
      </c>
    </row>
    <row r="793" spans="1:4" x14ac:dyDescent="0.25">
      <c r="A793" t="s">
        <v>870</v>
      </c>
      <c r="B793" t="s">
        <v>2149</v>
      </c>
      <c r="C793" t="s">
        <v>874</v>
      </c>
      <c r="D793" t="str">
        <f t="shared" si="12"/>
        <v>xlsx</v>
      </c>
    </row>
    <row r="794" spans="1:4" x14ac:dyDescent="0.25">
      <c r="A794" t="s">
        <v>875</v>
      </c>
      <c r="B794" t="s">
        <v>2150</v>
      </c>
      <c r="C794" t="s">
        <v>876</v>
      </c>
      <c r="D794" t="str">
        <f t="shared" si="12"/>
        <v>pdf</v>
      </c>
    </row>
    <row r="795" spans="1:4" x14ac:dyDescent="0.25">
      <c r="A795" t="s">
        <v>875</v>
      </c>
      <c r="B795" t="s">
        <v>2150</v>
      </c>
      <c r="C795" t="s">
        <v>877</v>
      </c>
      <c r="D795" t="str">
        <f t="shared" si="12"/>
        <v>pdf</v>
      </c>
    </row>
    <row r="796" spans="1:4" x14ac:dyDescent="0.25">
      <c r="A796" t="s">
        <v>875</v>
      </c>
      <c r="B796" t="s">
        <v>2150</v>
      </c>
      <c r="C796" t="s">
        <v>878</v>
      </c>
      <c r="D796" t="str">
        <f t="shared" si="12"/>
        <v>pdf</v>
      </c>
    </row>
    <row r="797" spans="1:4" x14ac:dyDescent="0.25">
      <c r="A797" t="s">
        <v>875</v>
      </c>
      <c r="B797" t="s">
        <v>2150</v>
      </c>
      <c r="C797" t="s">
        <v>879</v>
      </c>
      <c r="D797" t="str">
        <f t="shared" si="12"/>
        <v>pdf</v>
      </c>
    </row>
    <row r="798" spans="1:4" x14ac:dyDescent="0.25">
      <c r="A798" t="s">
        <v>875</v>
      </c>
      <c r="B798" t="s">
        <v>2150</v>
      </c>
      <c r="C798" t="s">
        <v>880</v>
      </c>
      <c r="D798" t="str">
        <f t="shared" si="12"/>
        <v>pdf</v>
      </c>
    </row>
    <row r="799" spans="1:4" x14ac:dyDescent="0.25">
      <c r="A799" t="s">
        <v>875</v>
      </c>
      <c r="B799" t="s">
        <v>2150</v>
      </c>
      <c r="C799" t="s">
        <v>881</v>
      </c>
      <c r="D799" t="str">
        <f t="shared" si="12"/>
        <v>pdf</v>
      </c>
    </row>
    <row r="800" spans="1:4" x14ac:dyDescent="0.25">
      <c r="A800" t="s">
        <v>875</v>
      </c>
      <c r="B800" t="s">
        <v>2150</v>
      </c>
      <c r="C800" t="s">
        <v>882</v>
      </c>
      <c r="D800" t="str">
        <f t="shared" si="12"/>
        <v>pdf</v>
      </c>
    </row>
    <row r="801" spans="1:4" x14ac:dyDescent="0.25">
      <c r="A801" t="s">
        <v>883</v>
      </c>
      <c r="B801" t="s">
        <v>2151</v>
      </c>
      <c r="C801" t="s">
        <v>884</v>
      </c>
      <c r="D801" t="str">
        <f t="shared" si="12"/>
        <v>pdf</v>
      </c>
    </row>
    <row r="802" spans="1:4" x14ac:dyDescent="0.25">
      <c r="A802" t="s">
        <v>883</v>
      </c>
      <c r="B802" t="s">
        <v>2151</v>
      </c>
      <c r="C802" t="s">
        <v>885</v>
      </c>
      <c r="D802" t="str">
        <f t="shared" si="12"/>
        <v>pdf</v>
      </c>
    </row>
    <row r="803" spans="1:4" x14ac:dyDescent="0.25">
      <c r="A803" t="s">
        <v>883</v>
      </c>
      <c r="B803" t="s">
        <v>2151</v>
      </c>
      <c r="C803" t="s">
        <v>886</v>
      </c>
      <c r="D803" t="str">
        <f t="shared" si="12"/>
        <v>jpg</v>
      </c>
    </row>
    <row r="804" spans="1:4" x14ac:dyDescent="0.25">
      <c r="A804" t="s">
        <v>883</v>
      </c>
      <c r="B804" t="s">
        <v>2151</v>
      </c>
      <c r="C804" t="s">
        <v>887</v>
      </c>
      <c r="D804" t="str">
        <f t="shared" si="12"/>
        <v>jpg</v>
      </c>
    </row>
    <row r="805" spans="1:4" x14ac:dyDescent="0.25">
      <c r="A805" t="s">
        <v>883</v>
      </c>
      <c r="B805" t="s">
        <v>2151</v>
      </c>
      <c r="C805" t="s">
        <v>888</v>
      </c>
      <c r="D805" t="str">
        <f t="shared" si="12"/>
        <v>jpg</v>
      </c>
    </row>
    <row r="806" spans="1:4" x14ac:dyDescent="0.25">
      <c r="A806" t="s">
        <v>883</v>
      </c>
      <c r="B806" t="s">
        <v>2151</v>
      </c>
      <c r="C806" t="s">
        <v>889</v>
      </c>
      <c r="D806" t="str">
        <f t="shared" si="12"/>
        <v>jpg</v>
      </c>
    </row>
    <row r="807" spans="1:4" x14ac:dyDescent="0.25">
      <c r="A807" t="s">
        <v>890</v>
      </c>
      <c r="B807" t="s">
        <v>2152</v>
      </c>
      <c r="C807" t="s">
        <v>891</v>
      </c>
      <c r="D807" t="str">
        <f t="shared" si="12"/>
        <v>sdg</v>
      </c>
    </row>
    <row r="808" spans="1:4" x14ac:dyDescent="0.25">
      <c r="A808" t="s">
        <v>892</v>
      </c>
      <c r="B808" t="s">
        <v>2152</v>
      </c>
      <c r="C808" t="s">
        <v>893</v>
      </c>
      <c r="D808" t="str">
        <f t="shared" si="12"/>
        <v>docx</v>
      </c>
    </row>
    <row r="809" spans="1:4" x14ac:dyDescent="0.25">
      <c r="A809" t="s">
        <v>892</v>
      </c>
      <c r="B809" t="s">
        <v>2152</v>
      </c>
      <c r="C809" t="s">
        <v>894</v>
      </c>
      <c r="D809" t="str">
        <f t="shared" si="12"/>
        <v>las</v>
      </c>
    </row>
    <row r="810" spans="1:4" x14ac:dyDescent="0.25">
      <c r="A810" t="s">
        <v>892</v>
      </c>
      <c r="B810" t="s">
        <v>2152</v>
      </c>
      <c r="C810" t="s">
        <v>895</v>
      </c>
      <c r="D810" t="str">
        <f t="shared" si="12"/>
        <v>tif</v>
      </c>
    </row>
    <row r="811" spans="1:4" x14ac:dyDescent="0.25">
      <c r="A811" t="s">
        <v>892</v>
      </c>
      <c r="B811" t="s">
        <v>2152</v>
      </c>
      <c r="C811" t="s">
        <v>896</v>
      </c>
      <c r="D811" t="str">
        <f t="shared" si="12"/>
        <v>xlsx</v>
      </c>
    </row>
    <row r="812" spans="1:4" x14ac:dyDescent="0.25">
      <c r="A812" t="s">
        <v>892</v>
      </c>
      <c r="B812" t="s">
        <v>2152</v>
      </c>
      <c r="C812" t="s">
        <v>32</v>
      </c>
      <c r="D812" t="str">
        <f t="shared" si="12"/>
        <v>db</v>
      </c>
    </row>
    <row r="813" spans="1:4" x14ac:dyDescent="0.25">
      <c r="A813" t="s">
        <v>897</v>
      </c>
      <c r="B813" t="s">
        <v>2152</v>
      </c>
      <c r="C813" t="s">
        <v>898</v>
      </c>
      <c r="D813" t="str">
        <f t="shared" si="12"/>
        <v>las</v>
      </c>
    </row>
    <row r="814" spans="1:4" x14ac:dyDescent="0.25">
      <c r="A814" t="s">
        <v>899</v>
      </c>
      <c r="B814" t="s">
        <v>2153</v>
      </c>
      <c r="C814" t="s">
        <v>900</v>
      </c>
      <c r="D814" t="str">
        <f t="shared" si="12"/>
        <v>pdf</v>
      </c>
    </row>
    <row r="815" spans="1:4" x14ac:dyDescent="0.25">
      <c r="A815" t="s">
        <v>899</v>
      </c>
      <c r="B815" t="s">
        <v>2153</v>
      </c>
      <c r="C815" t="s">
        <v>901</v>
      </c>
      <c r="D815" t="str">
        <f t="shared" si="12"/>
        <v>las</v>
      </c>
    </row>
    <row r="816" spans="1:4" x14ac:dyDescent="0.25">
      <c r="A816" t="s">
        <v>899</v>
      </c>
      <c r="B816" t="s">
        <v>2153</v>
      </c>
      <c r="C816" t="s">
        <v>902</v>
      </c>
      <c r="D816" t="str">
        <f t="shared" si="12"/>
        <v>sdg</v>
      </c>
    </row>
    <row r="817" spans="1:4" x14ac:dyDescent="0.25">
      <c r="A817" t="s">
        <v>899</v>
      </c>
      <c r="B817" t="s">
        <v>2153</v>
      </c>
      <c r="C817" t="s">
        <v>903</v>
      </c>
      <c r="D817" t="str">
        <f t="shared" si="12"/>
        <v>xlsx</v>
      </c>
    </row>
    <row r="818" spans="1:4" x14ac:dyDescent="0.25">
      <c r="A818" t="s">
        <v>899</v>
      </c>
      <c r="B818" t="s">
        <v>2153</v>
      </c>
      <c r="C818" t="s">
        <v>904</v>
      </c>
      <c r="D818" t="str">
        <f t="shared" si="12"/>
        <v>pdf</v>
      </c>
    </row>
    <row r="819" spans="1:4" x14ac:dyDescent="0.25">
      <c r="A819" t="s">
        <v>905</v>
      </c>
      <c r="B819" t="s">
        <v>2154</v>
      </c>
      <c r="C819" t="s">
        <v>906</v>
      </c>
      <c r="D819" t="str">
        <f t="shared" si="12"/>
        <v>pdf</v>
      </c>
    </row>
    <row r="820" spans="1:4" x14ac:dyDescent="0.25">
      <c r="A820" t="s">
        <v>905</v>
      </c>
      <c r="B820" t="s">
        <v>2154</v>
      </c>
      <c r="C820" t="s">
        <v>907</v>
      </c>
      <c r="D820" t="str">
        <f t="shared" si="12"/>
        <v>las</v>
      </c>
    </row>
    <row r="821" spans="1:4" x14ac:dyDescent="0.25">
      <c r="A821" t="s">
        <v>905</v>
      </c>
      <c r="B821" t="s">
        <v>2154</v>
      </c>
      <c r="C821" t="s">
        <v>908</v>
      </c>
      <c r="D821" t="str">
        <f t="shared" si="12"/>
        <v>las</v>
      </c>
    </row>
    <row r="822" spans="1:4" x14ac:dyDescent="0.25">
      <c r="A822" t="s">
        <v>905</v>
      </c>
      <c r="B822" t="s">
        <v>2154</v>
      </c>
      <c r="C822" t="s">
        <v>909</v>
      </c>
      <c r="D822" t="str">
        <f t="shared" si="12"/>
        <v>sdg</v>
      </c>
    </row>
    <row r="823" spans="1:4" x14ac:dyDescent="0.25">
      <c r="A823" t="s">
        <v>905</v>
      </c>
      <c r="B823" t="s">
        <v>2154</v>
      </c>
      <c r="C823" t="s">
        <v>910</v>
      </c>
      <c r="D823" t="str">
        <f t="shared" si="12"/>
        <v>xlsx</v>
      </c>
    </row>
    <row r="824" spans="1:4" x14ac:dyDescent="0.25">
      <c r="A824" t="s">
        <v>905</v>
      </c>
      <c r="B824" t="s">
        <v>2154</v>
      </c>
      <c r="C824" t="s">
        <v>911</v>
      </c>
      <c r="D824" t="str">
        <f t="shared" si="12"/>
        <v>pdf</v>
      </c>
    </row>
    <row r="825" spans="1:4" x14ac:dyDescent="0.25">
      <c r="A825" t="s">
        <v>905</v>
      </c>
      <c r="B825" t="s">
        <v>2154</v>
      </c>
      <c r="C825" t="s">
        <v>912</v>
      </c>
      <c r="D825" t="str">
        <f t="shared" si="12"/>
        <v>pdf</v>
      </c>
    </row>
    <row r="826" spans="1:4" x14ac:dyDescent="0.25">
      <c r="A826" t="s">
        <v>913</v>
      </c>
      <c r="B826" t="s">
        <v>2155</v>
      </c>
      <c r="C826" t="s">
        <v>914</v>
      </c>
      <c r="D826" t="str">
        <f t="shared" si="12"/>
        <v>pdf</v>
      </c>
    </row>
    <row r="827" spans="1:4" x14ac:dyDescent="0.25">
      <c r="A827" t="s">
        <v>915</v>
      </c>
      <c r="B827" t="s">
        <v>2156</v>
      </c>
      <c r="C827" t="s">
        <v>916</v>
      </c>
      <c r="D827" t="str">
        <f t="shared" si="12"/>
        <v>pdf</v>
      </c>
    </row>
    <row r="828" spans="1:4" x14ac:dyDescent="0.25">
      <c r="A828" t="s">
        <v>915</v>
      </c>
      <c r="B828" t="s">
        <v>2156</v>
      </c>
      <c r="C828" t="s">
        <v>917</v>
      </c>
      <c r="D828" t="str">
        <f t="shared" si="12"/>
        <v>pdf</v>
      </c>
    </row>
    <row r="829" spans="1:4" x14ac:dyDescent="0.25">
      <c r="A829" t="s">
        <v>915</v>
      </c>
      <c r="B829" t="s">
        <v>2156</v>
      </c>
      <c r="C829" t="s">
        <v>918</v>
      </c>
      <c r="D829" t="str">
        <f t="shared" si="12"/>
        <v>pdf</v>
      </c>
    </row>
    <row r="830" spans="1:4" x14ac:dyDescent="0.25">
      <c r="A830" t="s">
        <v>915</v>
      </c>
      <c r="B830" t="s">
        <v>2156</v>
      </c>
      <c r="C830" t="s">
        <v>919</v>
      </c>
      <c r="D830" t="str">
        <f t="shared" si="12"/>
        <v>pdf</v>
      </c>
    </row>
    <row r="831" spans="1:4" x14ac:dyDescent="0.25">
      <c r="A831" t="s">
        <v>920</v>
      </c>
      <c r="B831" t="s">
        <v>2157</v>
      </c>
      <c r="C831" t="s">
        <v>921</v>
      </c>
      <c r="D831" t="str">
        <f t="shared" si="12"/>
        <v>pdf</v>
      </c>
    </row>
    <row r="832" spans="1:4" x14ac:dyDescent="0.25">
      <c r="A832" t="s">
        <v>922</v>
      </c>
      <c r="B832" t="s">
        <v>2158</v>
      </c>
      <c r="C832" t="s">
        <v>923</v>
      </c>
      <c r="D832" t="str">
        <f t="shared" si="12"/>
        <v>pdf</v>
      </c>
    </row>
    <row r="833" spans="1:4" x14ac:dyDescent="0.25">
      <c r="A833" t="s">
        <v>922</v>
      </c>
      <c r="B833" t="s">
        <v>2158</v>
      </c>
      <c r="C833" t="s">
        <v>924</v>
      </c>
      <c r="D833" t="str">
        <f t="shared" si="12"/>
        <v>pdf</v>
      </c>
    </row>
    <row r="834" spans="1:4" x14ac:dyDescent="0.25">
      <c r="A834" t="s">
        <v>922</v>
      </c>
      <c r="B834" t="s">
        <v>2158</v>
      </c>
      <c r="C834" t="s">
        <v>925</v>
      </c>
      <c r="D834" t="str">
        <f t="shared" si="12"/>
        <v>pdf</v>
      </c>
    </row>
    <row r="835" spans="1:4" x14ac:dyDescent="0.25">
      <c r="A835" t="s">
        <v>922</v>
      </c>
      <c r="B835" t="s">
        <v>2158</v>
      </c>
      <c r="C835" t="s">
        <v>926</v>
      </c>
      <c r="D835" t="str">
        <f t="shared" ref="D835:D898" si="13">IF(ISNUMBER(SEARCH(".pdf",C835)),"pdf",IF(ISNUMBER(SEARCH(".tif",C835)),"tif",IF(ISNUMBER(SEARCH(".las",C835)),"las",IF(ISNUMBER(SEARCH(".sdg",C835)),"sdg",IF(ISNUMBER(SEARCH(".xlsx",C835)),"xlsx",IF(ISNUMBER(SEARCH(".docx",C835)),"docx",IF(ISNUMBER(SEARCH(".rhistory",C835)),"rhistory",IF(ISNUMBER(SEARCH(".db",C835)),"db",IF(ISNUMBER(SEARCH(".jpg",C835)),"jpg",IF(ISNUMBER(SEARCH(".png",C835)),"png",IF(ISNUMBER(SEARCH(".mdb",C835)),"mdb",IF(ISNUMBER(SEARCH(".xml",C835)),"xml",IF(ISNUMBER(SEARCH(".xls",C835)),"xls",IF(ISNUMBER(SEARCH(".txt",C835)),"txt",IF(ISNUMBER(SEARCH(".tsf",C835)),"tsf",IF(ISNUMBER(SEARCH(".sch",C835)),"sch","ZIP oder R"))))))))))))))))</f>
        <v>pdf</v>
      </c>
    </row>
    <row r="836" spans="1:4" x14ac:dyDescent="0.25">
      <c r="A836" t="s">
        <v>922</v>
      </c>
      <c r="B836" t="s">
        <v>2158</v>
      </c>
      <c r="C836" t="s">
        <v>927</v>
      </c>
      <c r="D836" t="str">
        <f t="shared" si="13"/>
        <v>pdf</v>
      </c>
    </row>
    <row r="837" spans="1:4" x14ac:dyDescent="0.25">
      <c r="A837" t="s">
        <v>922</v>
      </c>
      <c r="B837" t="s">
        <v>2158</v>
      </c>
      <c r="C837" t="s">
        <v>928</v>
      </c>
      <c r="D837" t="str">
        <f t="shared" si="13"/>
        <v>pdf</v>
      </c>
    </row>
    <row r="838" spans="1:4" x14ac:dyDescent="0.25">
      <c r="A838" t="s">
        <v>922</v>
      </c>
      <c r="B838" t="s">
        <v>2158</v>
      </c>
      <c r="C838" t="s">
        <v>929</v>
      </c>
      <c r="D838" t="str">
        <f t="shared" si="13"/>
        <v>pdf</v>
      </c>
    </row>
    <row r="839" spans="1:4" x14ac:dyDescent="0.25">
      <c r="A839" t="s">
        <v>922</v>
      </c>
      <c r="B839" t="s">
        <v>2158</v>
      </c>
      <c r="C839" t="s">
        <v>930</v>
      </c>
      <c r="D839" t="str">
        <f t="shared" si="13"/>
        <v>pdf</v>
      </c>
    </row>
    <row r="840" spans="1:4" x14ac:dyDescent="0.25">
      <c r="A840" t="s">
        <v>922</v>
      </c>
      <c r="B840" t="s">
        <v>2158</v>
      </c>
      <c r="C840" t="s">
        <v>931</v>
      </c>
      <c r="D840" t="str">
        <f t="shared" si="13"/>
        <v>pdf</v>
      </c>
    </row>
    <row r="841" spans="1:4" x14ac:dyDescent="0.25">
      <c r="A841" t="s">
        <v>922</v>
      </c>
      <c r="B841" t="s">
        <v>2158</v>
      </c>
      <c r="C841" t="s">
        <v>932</v>
      </c>
      <c r="D841" t="str">
        <f t="shared" si="13"/>
        <v>pdf</v>
      </c>
    </row>
    <row r="842" spans="1:4" x14ac:dyDescent="0.25">
      <c r="A842" t="s">
        <v>922</v>
      </c>
      <c r="B842" t="s">
        <v>2158</v>
      </c>
      <c r="C842" t="s">
        <v>933</v>
      </c>
      <c r="D842" t="str">
        <f t="shared" si="13"/>
        <v>pdf</v>
      </c>
    </row>
    <row r="843" spans="1:4" x14ac:dyDescent="0.25">
      <c r="A843" t="s">
        <v>922</v>
      </c>
      <c r="B843" t="s">
        <v>2158</v>
      </c>
      <c r="C843" t="s">
        <v>934</v>
      </c>
      <c r="D843" t="str">
        <f t="shared" si="13"/>
        <v>pdf</v>
      </c>
    </row>
    <row r="844" spans="1:4" x14ac:dyDescent="0.25">
      <c r="A844" t="s">
        <v>922</v>
      </c>
      <c r="B844" t="s">
        <v>2158</v>
      </c>
      <c r="C844" t="s">
        <v>935</v>
      </c>
      <c r="D844" t="str">
        <f t="shared" si="13"/>
        <v>pdf</v>
      </c>
    </row>
    <row r="845" spans="1:4" x14ac:dyDescent="0.25">
      <c r="A845" t="s">
        <v>922</v>
      </c>
      <c r="B845" t="s">
        <v>2158</v>
      </c>
      <c r="C845" t="s">
        <v>936</v>
      </c>
      <c r="D845" t="str">
        <f t="shared" si="13"/>
        <v>pdf</v>
      </c>
    </row>
    <row r="846" spans="1:4" x14ac:dyDescent="0.25">
      <c r="A846" t="s">
        <v>922</v>
      </c>
      <c r="B846" t="s">
        <v>2158</v>
      </c>
      <c r="C846" t="s">
        <v>937</v>
      </c>
      <c r="D846" t="str">
        <f t="shared" si="13"/>
        <v>pdf</v>
      </c>
    </row>
    <row r="847" spans="1:4" x14ac:dyDescent="0.25">
      <c r="A847" t="s">
        <v>922</v>
      </c>
      <c r="B847" t="s">
        <v>2158</v>
      </c>
      <c r="C847" t="s">
        <v>938</v>
      </c>
      <c r="D847" t="str">
        <f t="shared" si="13"/>
        <v>pdf</v>
      </c>
    </row>
    <row r="848" spans="1:4" x14ac:dyDescent="0.25">
      <c r="A848" t="s">
        <v>922</v>
      </c>
      <c r="B848" t="s">
        <v>2158</v>
      </c>
      <c r="C848" t="s">
        <v>939</v>
      </c>
      <c r="D848" t="str">
        <f t="shared" si="13"/>
        <v>pdf</v>
      </c>
    </row>
    <row r="849" spans="1:4" x14ac:dyDescent="0.25">
      <c r="A849" t="s">
        <v>922</v>
      </c>
      <c r="B849" t="s">
        <v>2158</v>
      </c>
      <c r="C849" t="s">
        <v>940</v>
      </c>
      <c r="D849" t="str">
        <f t="shared" si="13"/>
        <v>pdf</v>
      </c>
    </row>
    <row r="850" spans="1:4" x14ac:dyDescent="0.25">
      <c r="A850" t="s">
        <v>922</v>
      </c>
      <c r="B850" t="s">
        <v>2158</v>
      </c>
      <c r="C850" t="s">
        <v>941</v>
      </c>
      <c r="D850" t="str">
        <f t="shared" si="13"/>
        <v>pdf</v>
      </c>
    </row>
    <row r="851" spans="1:4" x14ac:dyDescent="0.25">
      <c r="A851" t="s">
        <v>922</v>
      </c>
      <c r="B851" t="s">
        <v>2158</v>
      </c>
      <c r="C851" t="s">
        <v>942</v>
      </c>
      <c r="D851" t="str">
        <f t="shared" si="13"/>
        <v>pdf</v>
      </c>
    </row>
    <row r="852" spans="1:4" x14ac:dyDescent="0.25">
      <c r="A852" t="s">
        <v>922</v>
      </c>
      <c r="B852" t="s">
        <v>2158</v>
      </c>
      <c r="C852" t="s">
        <v>943</v>
      </c>
      <c r="D852" t="str">
        <f t="shared" si="13"/>
        <v>pdf</v>
      </c>
    </row>
    <row r="853" spans="1:4" x14ac:dyDescent="0.25">
      <c r="A853" t="s">
        <v>922</v>
      </c>
      <c r="B853" t="s">
        <v>2158</v>
      </c>
      <c r="C853" t="s">
        <v>944</v>
      </c>
      <c r="D853" t="str">
        <f t="shared" si="13"/>
        <v>pdf</v>
      </c>
    </row>
    <row r="854" spans="1:4" x14ac:dyDescent="0.25">
      <c r="A854" t="s">
        <v>922</v>
      </c>
      <c r="B854" t="s">
        <v>2158</v>
      </c>
      <c r="C854" t="s">
        <v>945</v>
      </c>
      <c r="D854" t="str">
        <f t="shared" si="13"/>
        <v>pdf</v>
      </c>
    </row>
    <row r="855" spans="1:4" x14ac:dyDescent="0.25">
      <c r="A855" t="s">
        <v>946</v>
      </c>
      <c r="B855" t="s">
        <v>2159</v>
      </c>
      <c r="C855" t="s">
        <v>947</v>
      </c>
      <c r="D855" t="str">
        <f t="shared" si="13"/>
        <v>las</v>
      </c>
    </row>
    <row r="856" spans="1:4" x14ac:dyDescent="0.25">
      <c r="A856" t="s">
        <v>946</v>
      </c>
      <c r="B856" t="s">
        <v>2159</v>
      </c>
      <c r="C856" t="s">
        <v>948</v>
      </c>
      <c r="D856" t="str">
        <f t="shared" si="13"/>
        <v>las</v>
      </c>
    </row>
    <row r="857" spans="1:4" x14ac:dyDescent="0.25">
      <c r="A857" t="s">
        <v>946</v>
      </c>
      <c r="B857" t="s">
        <v>2159</v>
      </c>
      <c r="C857" t="s">
        <v>949</v>
      </c>
      <c r="D857" t="str">
        <f t="shared" si="13"/>
        <v>pdf</v>
      </c>
    </row>
    <row r="858" spans="1:4" x14ac:dyDescent="0.25">
      <c r="A858" t="s">
        <v>946</v>
      </c>
      <c r="B858" t="s">
        <v>2159</v>
      </c>
      <c r="C858" t="s">
        <v>950</v>
      </c>
      <c r="D858" t="str">
        <f t="shared" si="13"/>
        <v>pdf</v>
      </c>
    </row>
    <row r="859" spans="1:4" x14ac:dyDescent="0.25">
      <c r="A859" t="s">
        <v>946</v>
      </c>
      <c r="B859" t="s">
        <v>2159</v>
      </c>
      <c r="C859" t="s">
        <v>951</v>
      </c>
      <c r="D859" t="str">
        <f t="shared" si="13"/>
        <v>pdf</v>
      </c>
    </row>
    <row r="860" spans="1:4" x14ac:dyDescent="0.25">
      <c r="A860" t="s">
        <v>946</v>
      </c>
      <c r="B860" t="s">
        <v>2159</v>
      </c>
      <c r="C860" t="s">
        <v>952</v>
      </c>
      <c r="D860" t="str">
        <f t="shared" si="13"/>
        <v>pdf</v>
      </c>
    </row>
    <row r="861" spans="1:4" x14ac:dyDescent="0.25">
      <c r="A861" t="s">
        <v>946</v>
      </c>
      <c r="B861" t="s">
        <v>2159</v>
      </c>
      <c r="C861" t="s">
        <v>953</v>
      </c>
      <c r="D861" t="str">
        <f t="shared" si="13"/>
        <v>pdf</v>
      </c>
    </row>
    <row r="862" spans="1:4" x14ac:dyDescent="0.25">
      <c r="A862" t="s">
        <v>946</v>
      </c>
      <c r="B862" t="s">
        <v>2159</v>
      </c>
      <c r="C862" t="s">
        <v>954</v>
      </c>
      <c r="D862" t="str">
        <f t="shared" si="13"/>
        <v>pdf</v>
      </c>
    </row>
    <row r="863" spans="1:4" x14ac:dyDescent="0.25">
      <c r="A863" t="s">
        <v>946</v>
      </c>
      <c r="B863" t="s">
        <v>2159</v>
      </c>
      <c r="C863" t="s">
        <v>955</v>
      </c>
      <c r="D863" t="str">
        <f t="shared" si="13"/>
        <v>pdf</v>
      </c>
    </row>
    <row r="864" spans="1:4" x14ac:dyDescent="0.25">
      <c r="A864" t="s">
        <v>946</v>
      </c>
      <c r="B864" t="s">
        <v>2159</v>
      </c>
      <c r="C864" t="s">
        <v>956</v>
      </c>
      <c r="D864" t="str">
        <f t="shared" si="13"/>
        <v>pdf</v>
      </c>
    </row>
    <row r="865" spans="1:4" x14ac:dyDescent="0.25">
      <c r="A865" t="s">
        <v>946</v>
      </c>
      <c r="B865" t="s">
        <v>2159</v>
      </c>
      <c r="C865" t="s">
        <v>957</v>
      </c>
      <c r="D865" t="str">
        <f t="shared" si="13"/>
        <v>pdf</v>
      </c>
    </row>
    <row r="866" spans="1:4" x14ac:dyDescent="0.25">
      <c r="A866" t="s">
        <v>946</v>
      </c>
      <c r="B866" t="s">
        <v>2159</v>
      </c>
      <c r="C866" t="s">
        <v>958</v>
      </c>
      <c r="D866" t="str">
        <f t="shared" si="13"/>
        <v>pdf</v>
      </c>
    </row>
    <row r="867" spans="1:4" x14ac:dyDescent="0.25">
      <c r="A867" t="s">
        <v>946</v>
      </c>
      <c r="B867" t="s">
        <v>2159</v>
      </c>
      <c r="C867" t="s">
        <v>959</v>
      </c>
      <c r="D867" t="str">
        <f t="shared" si="13"/>
        <v>pdf</v>
      </c>
    </row>
    <row r="868" spans="1:4" x14ac:dyDescent="0.25">
      <c r="A868" t="s">
        <v>946</v>
      </c>
      <c r="B868" t="s">
        <v>2159</v>
      </c>
      <c r="C868" t="s">
        <v>960</v>
      </c>
      <c r="D868" t="str">
        <f t="shared" si="13"/>
        <v>pdf</v>
      </c>
    </row>
    <row r="869" spans="1:4" x14ac:dyDescent="0.25">
      <c r="A869" t="s">
        <v>946</v>
      </c>
      <c r="B869" t="s">
        <v>2159</v>
      </c>
      <c r="C869" t="s">
        <v>961</v>
      </c>
      <c r="D869" t="str">
        <f t="shared" si="13"/>
        <v>pdf</v>
      </c>
    </row>
    <row r="870" spans="1:4" x14ac:dyDescent="0.25">
      <c r="A870" t="s">
        <v>946</v>
      </c>
      <c r="B870" t="s">
        <v>2159</v>
      </c>
      <c r="C870" t="s">
        <v>962</v>
      </c>
      <c r="D870" t="str">
        <f t="shared" si="13"/>
        <v>pdf</v>
      </c>
    </row>
    <row r="871" spans="1:4" x14ac:dyDescent="0.25">
      <c r="A871" t="s">
        <v>946</v>
      </c>
      <c r="B871" t="s">
        <v>2159</v>
      </c>
      <c r="C871" t="s">
        <v>963</v>
      </c>
      <c r="D871" t="str">
        <f t="shared" si="13"/>
        <v>sdg</v>
      </c>
    </row>
    <row r="872" spans="1:4" x14ac:dyDescent="0.25">
      <c r="A872" t="s">
        <v>946</v>
      </c>
      <c r="B872" t="s">
        <v>2159</v>
      </c>
      <c r="C872" t="s">
        <v>964</v>
      </c>
      <c r="D872" t="str">
        <f t="shared" si="13"/>
        <v>xlsx</v>
      </c>
    </row>
    <row r="873" spans="1:4" x14ac:dyDescent="0.25">
      <c r="A873" t="s">
        <v>946</v>
      </c>
      <c r="B873" t="s">
        <v>2159</v>
      </c>
      <c r="C873" t="s">
        <v>965</v>
      </c>
      <c r="D873" t="str">
        <f t="shared" si="13"/>
        <v>pdf</v>
      </c>
    </row>
    <row r="874" spans="1:4" x14ac:dyDescent="0.25">
      <c r="A874" t="s">
        <v>966</v>
      </c>
      <c r="B874" t="s">
        <v>2160</v>
      </c>
      <c r="C874" t="s">
        <v>967</v>
      </c>
      <c r="D874" t="str">
        <f t="shared" si="13"/>
        <v>pdf</v>
      </c>
    </row>
    <row r="875" spans="1:4" x14ac:dyDescent="0.25">
      <c r="A875" t="s">
        <v>966</v>
      </c>
      <c r="B875" t="s">
        <v>2160</v>
      </c>
      <c r="C875" t="s">
        <v>968</v>
      </c>
      <c r="D875" t="str">
        <f t="shared" si="13"/>
        <v>jpg</v>
      </c>
    </row>
    <row r="876" spans="1:4" x14ac:dyDescent="0.25">
      <c r="A876" t="s">
        <v>966</v>
      </c>
      <c r="B876" t="s">
        <v>2160</v>
      </c>
      <c r="C876" t="s">
        <v>969</v>
      </c>
      <c r="D876" t="str">
        <f t="shared" si="13"/>
        <v>jpg</v>
      </c>
    </row>
    <row r="877" spans="1:4" x14ac:dyDescent="0.25">
      <c r="A877" t="s">
        <v>966</v>
      </c>
      <c r="B877" t="s">
        <v>2160</v>
      </c>
      <c r="C877" t="s">
        <v>970</v>
      </c>
      <c r="D877" t="str">
        <f t="shared" si="13"/>
        <v>jpg</v>
      </c>
    </row>
    <row r="878" spans="1:4" x14ac:dyDescent="0.25">
      <c r="A878" t="s">
        <v>966</v>
      </c>
      <c r="B878" t="s">
        <v>2160</v>
      </c>
      <c r="C878" t="s">
        <v>971</v>
      </c>
      <c r="D878" t="str">
        <f t="shared" si="13"/>
        <v>jpg</v>
      </c>
    </row>
    <row r="879" spans="1:4" x14ac:dyDescent="0.25">
      <c r="A879" t="s">
        <v>966</v>
      </c>
      <c r="B879" t="s">
        <v>2160</v>
      </c>
      <c r="C879" t="s">
        <v>972</v>
      </c>
      <c r="D879" t="str">
        <f t="shared" si="13"/>
        <v>jpg</v>
      </c>
    </row>
    <row r="880" spans="1:4" x14ac:dyDescent="0.25">
      <c r="A880" t="s">
        <v>966</v>
      </c>
      <c r="B880" t="s">
        <v>2160</v>
      </c>
      <c r="C880" t="s">
        <v>973</v>
      </c>
      <c r="D880" t="str">
        <f t="shared" si="13"/>
        <v>pdf</v>
      </c>
    </row>
    <row r="881" spans="1:4" x14ac:dyDescent="0.25">
      <c r="A881" t="s">
        <v>966</v>
      </c>
      <c r="B881" t="s">
        <v>2160</v>
      </c>
      <c r="C881" t="s">
        <v>974</v>
      </c>
      <c r="D881" t="str">
        <f t="shared" si="13"/>
        <v>pdf</v>
      </c>
    </row>
    <row r="882" spans="1:4" x14ac:dyDescent="0.25">
      <c r="A882" t="s">
        <v>966</v>
      </c>
      <c r="B882" t="s">
        <v>2160</v>
      </c>
      <c r="C882" t="s">
        <v>975</v>
      </c>
      <c r="D882" t="str">
        <f t="shared" si="13"/>
        <v>pdf</v>
      </c>
    </row>
    <row r="883" spans="1:4" x14ac:dyDescent="0.25">
      <c r="A883" t="s">
        <v>976</v>
      </c>
      <c r="B883" t="s">
        <v>2161</v>
      </c>
      <c r="C883" t="s">
        <v>977</v>
      </c>
      <c r="D883" t="str">
        <f t="shared" si="13"/>
        <v>las</v>
      </c>
    </row>
    <row r="884" spans="1:4" x14ac:dyDescent="0.25">
      <c r="A884" t="s">
        <v>976</v>
      </c>
      <c r="B884" t="s">
        <v>2161</v>
      </c>
      <c r="C884" t="s">
        <v>978</v>
      </c>
      <c r="D884" t="str">
        <f t="shared" si="13"/>
        <v>las</v>
      </c>
    </row>
    <row r="885" spans="1:4" x14ac:dyDescent="0.25">
      <c r="A885" t="s">
        <v>976</v>
      </c>
      <c r="B885" t="s">
        <v>2161</v>
      </c>
      <c r="C885" t="s">
        <v>979</v>
      </c>
      <c r="D885" t="str">
        <f t="shared" si="13"/>
        <v>sdg</v>
      </c>
    </row>
    <row r="886" spans="1:4" x14ac:dyDescent="0.25">
      <c r="A886" t="s">
        <v>976</v>
      </c>
      <c r="B886" t="s">
        <v>2161</v>
      </c>
      <c r="C886" t="s">
        <v>980</v>
      </c>
      <c r="D886" t="str">
        <f t="shared" si="13"/>
        <v>pdf</v>
      </c>
    </row>
    <row r="887" spans="1:4" x14ac:dyDescent="0.25">
      <c r="A887" t="s">
        <v>976</v>
      </c>
      <c r="B887" t="s">
        <v>2161</v>
      </c>
      <c r="C887" t="s">
        <v>981</v>
      </c>
      <c r="D887" t="str">
        <f t="shared" si="13"/>
        <v>xlsx</v>
      </c>
    </row>
    <row r="888" spans="1:4" x14ac:dyDescent="0.25">
      <c r="A888" t="s">
        <v>982</v>
      </c>
      <c r="B888" t="s">
        <v>2162</v>
      </c>
      <c r="C888" t="s">
        <v>983</v>
      </c>
      <c r="D888" t="str">
        <f t="shared" si="13"/>
        <v>pdf</v>
      </c>
    </row>
    <row r="889" spans="1:4" x14ac:dyDescent="0.25">
      <c r="A889" t="s">
        <v>982</v>
      </c>
      <c r="B889" t="s">
        <v>2162</v>
      </c>
      <c r="C889" t="s">
        <v>984</v>
      </c>
      <c r="D889" t="str">
        <f t="shared" si="13"/>
        <v>pdf</v>
      </c>
    </row>
    <row r="890" spans="1:4" x14ac:dyDescent="0.25">
      <c r="A890" t="s">
        <v>982</v>
      </c>
      <c r="B890" t="s">
        <v>2162</v>
      </c>
      <c r="C890" t="s">
        <v>985</v>
      </c>
      <c r="D890" t="str">
        <f t="shared" si="13"/>
        <v>pdf</v>
      </c>
    </row>
    <row r="891" spans="1:4" x14ac:dyDescent="0.25">
      <c r="A891" t="s">
        <v>982</v>
      </c>
      <c r="B891" t="s">
        <v>2162</v>
      </c>
      <c r="C891" t="s">
        <v>986</v>
      </c>
      <c r="D891" t="str">
        <f t="shared" si="13"/>
        <v>pdf</v>
      </c>
    </row>
    <row r="892" spans="1:4" x14ac:dyDescent="0.25">
      <c r="A892" t="s">
        <v>987</v>
      </c>
      <c r="B892" t="s">
        <v>2163</v>
      </c>
      <c r="C892" t="s">
        <v>988</v>
      </c>
      <c r="D892" t="str">
        <f t="shared" si="13"/>
        <v>pdf</v>
      </c>
    </row>
    <row r="893" spans="1:4" x14ac:dyDescent="0.25">
      <c r="A893" t="s">
        <v>987</v>
      </c>
      <c r="B893" t="s">
        <v>2163</v>
      </c>
      <c r="C893" t="s">
        <v>989</v>
      </c>
      <c r="D893" t="str">
        <f t="shared" si="13"/>
        <v>pdf</v>
      </c>
    </row>
    <row r="894" spans="1:4" x14ac:dyDescent="0.25">
      <c r="A894" t="s">
        <v>987</v>
      </c>
      <c r="B894" t="s">
        <v>2163</v>
      </c>
      <c r="C894" t="s">
        <v>990</v>
      </c>
      <c r="D894" t="str">
        <f t="shared" si="13"/>
        <v>pdf</v>
      </c>
    </row>
    <row r="895" spans="1:4" x14ac:dyDescent="0.25">
      <c r="A895" t="s">
        <v>991</v>
      </c>
      <c r="B895" t="s">
        <v>2164</v>
      </c>
      <c r="C895" t="s">
        <v>992</v>
      </c>
      <c r="D895" t="str">
        <f t="shared" si="13"/>
        <v>pdf</v>
      </c>
    </row>
    <row r="896" spans="1:4" x14ac:dyDescent="0.25">
      <c r="A896" t="s">
        <v>991</v>
      </c>
      <c r="B896" t="s">
        <v>2164</v>
      </c>
      <c r="C896" t="s">
        <v>993</v>
      </c>
      <c r="D896" t="str">
        <f t="shared" si="13"/>
        <v>pdf</v>
      </c>
    </row>
    <row r="897" spans="1:4" x14ac:dyDescent="0.25">
      <c r="A897" t="s">
        <v>991</v>
      </c>
      <c r="B897" t="s">
        <v>2164</v>
      </c>
      <c r="C897" t="s">
        <v>994</v>
      </c>
      <c r="D897" t="str">
        <f t="shared" si="13"/>
        <v>pdf</v>
      </c>
    </row>
    <row r="898" spans="1:4" x14ac:dyDescent="0.25">
      <c r="A898" t="s">
        <v>991</v>
      </c>
      <c r="B898" t="s">
        <v>2164</v>
      </c>
      <c r="C898" t="s">
        <v>995</v>
      </c>
      <c r="D898" t="str">
        <f t="shared" si="13"/>
        <v>pdf</v>
      </c>
    </row>
    <row r="899" spans="1:4" x14ac:dyDescent="0.25">
      <c r="A899" t="s">
        <v>991</v>
      </c>
      <c r="B899" t="s">
        <v>2164</v>
      </c>
      <c r="C899" t="s">
        <v>996</v>
      </c>
      <c r="D899" t="str">
        <f t="shared" ref="D899:D962" si="14">IF(ISNUMBER(SEARCH(".pdf",C899)),"pdf",IF(ISNUMBER(SEARCH(".tif",C899)),"tif",IF(ISNUMBER(SEARCH(".las",C899)),"las",IF(ISNUMBER(SEARCH(".sdg",C899)),"sdg",IF(ISNUMBER(SEARCH(".xlsx",C899)),"xlsx",IF(ISNUMBER(SEARCH(".docx",C899)),"docx",IF(ISNUMBER(SEARCH(".rhistory",C899)),"rhistory",IF(ISNUMBER(SEARCH(".db",C899)),"db",IF(ISNUMBER(SEARCH(".jpg",C899)),"jpg",IF(ISNUMBER(SEARCH(".png",C899)),"png",IF(ISNUMBER(SEARCH(".mdb",C899)),"mdb",IF(ISNUMBER(SEARCH(".xml",C899)),"xml",IF(ISNUMBER(SEARCH(".xls",C899)),"xls",IF(ISNUMBER(SEARCH(".txt",C899)),"txt",IF(ISNUMBER(SEARCH(".tsf",C899)),"tsf",IF(ISNUMBER(SEARCH(".sch",C899)),"sch","ZIP oder R"))))))))))))))))</f>
        <v>pdf</v>
      </c>
    </row>
    <row r="900" spans="1:4" x14ac:dyDescent="0.25">
      <c r="A900" t="s">
        <v>991</v>
      </c>
      <c r="B900" t="s">
        <v>2164</v>
      </c>
      <c r="C900" t="s">
        <v>997</v>
      </c>
      <c r="D900" t="str">
        <f t="shared" si="14"/>
        <v>pdf</v>
      </c>
    </row>
    <row r="901" spans="1:4" x14ac:dyDescent="0.25">
      <c r="A901" t="s">
        <v>991</v>
      </c>
      <c r="B901" t="s">
        <v>2164</v>
      </c>
      <c r="C901" t="s">
        <v>998</v>
      </c>
      <c r="D901" t="str">
        <f t="shared" si="14"/>
        <v>pdf</v>
      </c>
    </row>
    <row r="902" spans="1:4" x14ac:dyDescent="0.25">
      <c r="A902" t="s">
        <v>991</v>
      </c>
      <c r="B902" t="s">
        <v>2164</v>
      </c>
      <c r="C902" t="s">
        <v>999</v>
      </c>
      <c r="D902" t="str">
        <f t="shared" si="14"/>
        <v>pdf</v>
      </c>
    </row>
    <row r="903" spans="1:4" x14ac:dyDescent="0.25">
      <c r="A903" t="s">
        <v>1000</v>
      </c>
      <c r="B903" t="s">
        <v>2165</v>
      </c>
      <c r="C903" t="s">
        <v>1001</v>
      </c>
      <c r="D903" t="str">
        <f t="shared" si="14"/>
        <v>pdf</v>
      </c>
    </row>
    <row r="904" spans="1:4" x14ac:dyDescent="0.25">
      <c r="A904" t="s">
        <v>1000</v>
      </c>
      <c r="B904" t="s">
        <v>2165</v>
      </c>
      <c r="C904" t="s">
        <v>1002</v>
      </c>
      <c r="D904" t="str">
        <f t="shared" si="14"/>
        <v>sdg</v>
      </c>
    </row>
    <row r="905" spans="1:4" x14ac:dyDescent="0.25">
      <c r="A905" t="s">
        <v>1000</v>
      </c>
      <c r="B905" t="s">
        <v>2165</v>
      </c>
      <c r="C905" t="s">
        <v>1003</v>
      </c>
      <c r="D905" t="str">
        <f t="shared" si="14"/>
        <v>xlsx</v>
      </c>
    </row>
    <row r="906" spans="1:4" x14ac:dyDescent="0.25">
      <c r="A906" t="s">
        <v>1000</v>
      </c>
      <c r="B906" t="s">
        <v>2165</v>
      </c>
      <c r="C906" t="s">
        <v>1004</v>
      </c>
      <c r="D906" t="str">
        <f t="shared" si="14"/>
        <v>pdf</v>
      </c>
    </row>
    <row r="907" spans="1:4" x14ac:dyDescent="0.25">
      <c r="A907" t="s">
        <v>1005</v>
      </c>
      <c r="B907" t="s">
        <v>2165</v>
      </c>
      <c r="C907" t="s">
        <v>1006</v>
      </c>
      <c r="D907" t="str">
        <f t="shared" si="14"/>
        <v>las</v>
      </c>
    </row>
    <row r="908" spans="1:4" x14ac:dyDescent="0.25">
      <c r="A908" t="s">
        <v>1005</v>
      </c>
      <c r="B908" t="s">
        <v>2165</v>
      </c>
      <c r="C908" t="s">
        <v>1007</v>
      </c>
      <c r="D908" t="str">
        <f t="shared" si="14"/>
        <v>tif</v>
      </c>
    </row>
    <row r="909" spans="1:4" x14ac:dyDescent="0.25">
      <c r="A909" t="s">
        <v>1005</v>
      </c>
      <c r="B909" t="s">
        <v>2165</v>
      </c>
      <c r="C909" t="s">
        <v>1008</v>
      </c>
      <c r="D909" t="str">
        <f t="shared" si="14"/>
        <v>docx</v>
      </c>
    </row>
    <row r="910" spans="1:4" x14ac:dyDescent="0.25">
      <c r="A910" t="s">
        <v>1009</v>
      </c>
      <c r="B910" t="s">
        <v>2165</v>
      </c>
      <c r="C910" t="s">
        <v>1010</v>
      </c>
      <c r="D910" t="str">
        <f t="shared" si="14"/>
        <v>las</v>
      </c>
    </row>
    <row r="911" spans="1:4" x14ac:dyDescent="0.25">
      <c r="A911" t="s">
        <v>1011</v>
      </c>
      <c r="B911" t="s">
        <v>2166</v>
      </c>
      <c r="C911" t="s">
        <v>1012</v>
      </c>
      <c r="D911" t="str">
        <f t="shared" si="14"/>
        <v>pdf</v>
      </c>
    </row>
    <row r="912" spans="1:4" x14ac:dyDescent="0.25">
      <c r="A912" t="s">
        <v>1011</v>
      </c>
      <c r="B912" t="s">
        <v>2166</v>
      </c>
      <c r="C912" t="s">
        <v>1013</v>
      </c>
      <c r="D912" t="str">
        <f t="shared" si="14"/>
        <v>las</v>
      </c>
    </row>
    <row r="913" spans="1:4" x14ac:dyDescent="0.25">
      <c r="A913" t="s">
        <v>1011</v>
      </c>
      <c r="B913" t="s">
        <v>2166</v>
      </c>
      <c r="C913" t="s">
        <v>1014</v>
      </c>
      <c r="D913" t="str">
        <f t="shared" si="14"/>
        <v>las</v>
      </c>
    </row>
    <row r="914" spans="1:4" x14ac:dyDescent="0.25">
      <c r="A914" t="s">
        <v>1011</v>
      </c>
      <c r="B914" t="s">
        <v>2166</v>
      </c>
      <c r="C914" t="s">
        <v>1015</v>
      </c>
      <c r="D914" t="str">
        <f t="shared" si="14"/>
        <v>las</v>
      </c>
    </row>
    <row r="915" spans="1:4" x14ac:dyDescent="0.25">
      <c r="A915" t="s">
        <v>1011</v>
      </c>
      <c r="B915" t="s">
        <v>2166</v>
      </c>
      <c r="C915" t="s">
        <v>1016</v>
      </c>
      <c r="D915" t="str">
        <f t="shared" si="14"/>
        <v>las</v>
      </c>
    </row>
    <row r="916" spans="1:4" x14ac:dyDescent="0.25">
      <c r="A916" t="s">
        <v>1011</v>
      </c>
      <c r="B916" t="s">
        <v>2166</v>
      </c>
      <c r="C916" t="s">
        <v>1017</v>
      </c>
      <c r="D916" t="str">
        <f t="shared" si="14"/>
        <v>sdg</v>
      </c>
    </row>
    <row r="917" spans="1:4" x14ac:dyDescent="0.25">
      <c r="A917" t="s">
        <v>1011</v>
      </c>
      <c r="B917" t="s">
        <v>2166</v>
      </c>
      <c r="C917" t="s">
        <v>1018</v>
      </c>
      <c r="D917" t="str">
        <f t="shared" si="14"/>
        <v>xlsx</v>
      </c>
    </row>
    <row r="918" spans="1:4" x14ac:dyDescent="0.25">
      <c r="A918" t="s">
        <v>1011</v>
      </c>
      <c r="B918" t="s">
        <v>2166</v>
      </c>
      <c r="C918" t="s">
        <v>1019</v>
      </c>
      <c r="D918" t="str">
        <f t="shared" si="14"/>
        <v>pdf</v>
      </c>
    </row>
    <row r="919" spans="1:4" x14ac:dyDescent="0.25">
      <c r="A919" t="s">
        <v>1020</v>
      </c>
      <c r="B919" t="s">
        <v>2167</v>
      </c>
      <c r="C919" t="s">
        <v>1021</v>
      </c>
      <c r="D919" t="str">
        <f t="shared" si="14"/>
        <v>las</v>
      </c>
    </row>
    <row r="920" spans="1:4" x14ac:dyDescent="0.25">
      <c r="A920" t="s">
        <v>1020</v>
      </c>
      <c r="B920" t="s">
        <v>2167</v>
      </c>
      <c r="C920" t="s">
        <v>1022</v>
      </c>
      <c r="D920" t="str">
        <f t="shared" si="14"/>
        <v>sdg</v>
      </c>
    </row>
    <row r="921" spans="1:4" x14ac:dyDescent="0.25">
      <c r="A921" t="s">
        <v>1020</v>
      </c>
      <c r="B921" t="s">
        <v>2167</v>
      </c>
      <c r="C921" t="s">
        <v>1023</v>
      </c>
      <c r="D921" t="str">
        <f t="shared" si="14"/>
        <v>xlsx</v>
      </c>
    </row>
    <row r="922" spans="1:4" x14ac:dyDescent="0.25">
      <c r="A922" t="s">
        <v>1024</v>
      </c>
      <c r="B922" t="s">
        <v>2168</v>
      </c>
      <c r="C922" t="s">
        <v>1025</v>
      </c>
      <c r="D922" t="str">
        <f t="shared" si="14"/>
        <v>pdf</v>
      </c>
    </row>
    <row r="923" spans="1:4" x14ac:dyDescent="0.25">
      <c r="A923" t="s">
        <v>1024</v>
      </c>
      <c r="B923" t="s">
        <v>2168</v>
      </c>
      <c r="C923" t="s">
        <v>1026</v>
      </c>
      <c r="D923" t="str">
        <f t="shared" si="14"/>
        <v>pdf</v>
      </c>
    </row>
    <row r="924" spans="1:4" x14ac:dyDescent="0.25">
      <c r="A924" t="s">
        <v>1024</v>
      </c>
      <c r="B924" t="s">
        <v>2168</v>
      </c>
      <c r="C924" t="s">
        <v>1027</v>
      </c>
      <c r="D924" t="str">
        <f t="shared" si="14"/>
        <v>pdf</v>
      </c>
    </row>
    <row r="925" spans="1:4" x14ac:dyDescent="0.25">
      <c r="A925" t="s">
        <v>1024</v>
      </c>
      <c r="B925" t="s">
        <v>2168</v>
      </c>
      <c r="C925" t="s">
        <v>1028</v>
      </c>
      <c r="D925" t="str">
        <f t="shared" si="14"/>
        <v>pdf</v>
      </c>
    </row>
    <row r="926" spans="1:4" x14ac:dyDescent="0.25">
      <c r="A926" t="s">
        <v>1029</v>
      </c>
      <c r="B926" t="s">
        <v>2169</v>
      </c>
      <c r="C926" t="s">
        <v>1030</v>
      </c>
      <c r="D926" t="str">
        <f t="shared" si="14"/>
        <v>las</v>
      </c>
    </row>
    <row r="927" spans="1:4" x14ac:dyDescent="0.25">
      <c r="A927" t="s">
        <v>1029</v>
      </c>
      <c r="B927" t="s">
        <v>2169</v>
      </c>
      <c r="C927" t="s">
        <v>1031</v>
      </c>
      <c r="D927" t="str">
        <f t="shared" si="14"/>
        <v>sdg</v>
      </c>
    </row>
    <row r="928" spans="1:4" x14ac:dyDescent="0.25">
      <c r="A928" t="s">
        <v>1029</v>
      </c>
      <c r="B928" t="s">
        <v>2169</v>
      </c>
      <c r="C928" t="s">
        <v>1032</v>
      </c>
      <c r="D928" t="str">
        <f t="shared" si="14"/>
        <v>xlsx</v>
      </c>
    </row>
    <row r="929" spans="1:4" x14ac:dyDescent="0.25">
      <c r="A929" t="s">
        <v>1033</v>
      </c>
      <c r="B929" t="s">
        <v>2170</v>
      </c>
      <c r="C929" t="s">
        <v>1034</v>
      </c>
      <c r="D929" t="str">
        <f t="shared" si="14"/>
        <v>ZIP oder R</v>
      </c>
    </row>
    <row r="930" spans="1:4" x14ac:dyDescent="0.25">
      <c r="A930" t="s">
        <v>1035</v>
      </c>
      <c r="C930" t="s">
        <v>1036</v>
      </c>
      <c r="D930" t="str">
        <f t="shared" si="14"/>
        <v>ZIP oder R</v>
      </c>
    </row>
    <row r="931" spans="1:4" x14ac:dyDescent="0.25">
      <c r="A931" t="s">
        <v>1035</v>
      </c>
      <c r="C931" t="s">
        <v>1037</v>
      </c>
      <c r="D931" t="str">
        <f t="shared" si="14"/>
        <v>xlsx</v>
      </c>
    </row>
    <row r="932" spans="1:4" x14ac:dyDescent="0.25">
      <c r="A932" t="s">
        <v>1038</v>
      </c>
      <c r="B932" t="s">
        <v>2253</v>
      </c>
      <c r="C932" t="s">
        <v>1039</v>
      </c>
      <c r="D932" t="str">
        <f t="shared" si="14"/>
        <v>ZIP oder R</v>
      </c>
    </row>
    <row r="933" spans="1:4" x14ac:dyDescent="0.25">
      <c r="A933" t="s">
        <v>1038</v>
      </c>
      <c r="B933" t="s">
        <v>2253</v>
      </c>
      <c r="C933" t="s">
        <v>1040</v>
      </c>
      <c r="D933" t="str">
        <f t="shared" si="14"/>
        <v>pdf</v>
      </c>
    </row>
    <row r="934" spans="1:4" x14ac:dyDescent="0.25">
      <c r="A934" t="s">
        <v>1038</v>
      </c>
      <c r="B934" t="s">
        <v>2253</v>
      </c>
      <c r="C934" t="s">
        <v>1041</v>
      </c>
      <c r="D934" t="str">
        <f t="shared" si="14"/>
        <v>pdf</v>
      </c>
    </row>
    <row r="935" spans="1:4" x14ac:dyDescent="0.25">
      <c r="A935" t="s">
        <v>1038</v>
      </c>
      <c r="B935" t="s">
        <v>2253</v>
      </c>
      <c r="C935" t="s">
        <v>1042</v>
      </c>
      <c r="D935" t="str">
        <f t="shared" si="14"/>
        <v>pdf</v>
      </c>
    </row>
    <row r="936" spans="1:4" x14ac:dyDescent="0.25">
      <c r="A936" t="s">
        <v>1043</v>
      </c>
      <c r="B936" t="s">
        <v>2253</v>
      </c>
      <c r="C936" t="s">
        <v>1044</v>
      </c>
      <c r="D936" t="str">
        <f t="shared" si="14"/>
        <v>las</v>
      </c>
    </row>
    <row r="937" spans="1:4" x14ac:dyDescent="0.25">
      <c r="A937" t="s">
        <v>1043</v>
      </c>
      <c r="B937" t="s">
        <v>2253</v>
      </c>
      <c r="C937" t="s">
        <v>1045</v>
      </c>
      <c r="D937" t="str">
        <f t="shared" si="14"/>
        <v>las</v>
      </c>
    </row>
    <row r="938" spans="1:4" x14ac:dyDescent="0.25">
      <c r="A938" t="s">
        <v>1043</v>
      </c>
      <c r="B938" t="s">
        <v>2253</v>
      </c>
      <c r="C938" t="s">
        <v>1046</v>
      </c>
      <c r="D938" t="str">
        <f t="shared" si="14"/>
        <v>tif</v>
      </c>
    </row>
    <row r="939" spans="1:4" x14ac:dyDescent="0.25">
      <c r="A939" t="s">
        <v>1043</v>
      </c>
      <c r="B939" t="s">
        <v>2253</v>
      </c>
      <c r="C939" t="s">
        <v>1047</v>
      </c>
      <c r="D939" t="str">
        <f t="shared" si="14"/>
        <v>tif</v>
      </c>
    </row>
    <row r="940" spans="1:4" x14ac:dyDescent="0.25">
      <c r="A940" t="s">
        <v>1043</v>
      </c>
      <c r="B940" t="s">
        <v>2253</v>
      </c>
      <c r="C940" t="s">
        <v>1048</v>
      </c>
      <c r="D940" t="str">
        <f t="shared" si="14"/>
        <v>docx</v>
      </c>
    </row>
    <row r="941" spans="1:4" x14ac:dyDescent="0.25">
      <c r="A941" t="s">
        <v>1043</v>
      </c>
      <c r="B941" t="s">
        <v>2253</v>
      </c>
      <c r="C941" t="s">
        <v>1049</v>
      </c>
      <c r="D941" t="str">
        <f t="shared" si="14"/>
        <v>docx</v>
      </c>
    </row>
    <row r="942" spans="1:4" x14ac:dyDescent="0.25">
      <c r="A942" t="s">
        <v>1050</v>
      </c>
      <c r="B942" t="s">
        <v>2253</v>
      </c>
      <c r="C942" t="s">
        <v>1051</v>
      </c>
      <c r="D942" t="str">
        <f t="shared" si="14"/>
        <v>las</v>
      </c>
    </row>
    <row r="943" spans="1:4" x14ac:dyDescent="0.25">
      <c r="A943" t="s">
        <v>1050</v>
      </c>
      <c r="B943" t="s">
        <v>2253</v>
      </c>
      <c r="C943" t="s">
        <v>1052</v>
      </c>
      <c r="D943" t="str">
        <f t="shared" si="14"/>
        <v>las</v>
      </c>
    </row>
    <row r="944" spans="1:4" x14ac:dyDescent="0.25">
      <c r="A944" t="s">
        <v>1050</v>
      </c>
      <c r="B944" t="s">
        <v>2253</v>
      </c>
      <c r="C944" t="s">
        <v>1053</v>
      </c>
      <c r="D944" t="str">
        <f t="shared" si="14"/>
        <v>las</v>
      </c>
    </row>
    <row r="945" spans="1:4" x14ac:dyDescent="0.25">
      <c r="A945" t="s">
        <v>1054</v>
      </c>
      <c r="B945" t="s">
        <v>2291</v>
      </c>
      <c r="C945" t="s">
        <v>1055</v>
      </c>
      <c r="D945" t="str">
        <f t="shared" si="14"/>
        <v>las</v>
      </c>
    </row>
    <row r="946" spans="1:4" x14ac:dyDescent="0.25">
      <c r="A946" t="s">
        <v>1054</v>
      </c>
      <c r="B946" t="s">
        <v>2291</v>
      </c>
      <c r="C946" t="s">
        <v>1056</v>
      </c>
      <c r="D946" t="str">
        <f t="shared" si="14"/>
        <v>las</v>
      </c>
    </row>
    <row r="947" spans="1:4" x14ac:dyDescent="0.25">
      <c r="A947" t="s">
        <v>1054</v>
      </c>
      <c r="B947" t="s">
        <v>2291</v>
      </c>
      <c r="C947" t="s">
        <v>1057</v>
      </c>
      <c r="D947" t="str">
        <f t="shared" si="14"/>
        <v>ZIP oder R</v>
      </c>
    </row>
    <row r="948" spans="1:4" x14ac:dyDescent="0.25">
      <c r="A948" t="s">
        <v>1054</v>
      </c>
      <c r="B948" t="s">
        <v>2291</v>
      </c>
      <c r="C948" t="s">
        <v>1058</v>
      </c>
      <c r="D948" t="str">
        <f t="shared" si="14"/>
        <v>pdf</v>
      </c>
    </row>
    <row r="949" spans="1:4" x14ac:dyDescent="0.25">
      <c r="A949" t="s">
        <v>1054</v>
      </c>
      <c r="B949" t="s">
        <v>2291</v>
      </c>
      <c r="C949" t="s">
        <v>1059</v>
      </c>
      <c r="D949" t="str">
        <f t="shared" si="14"/>
        <v>pdf</v>
      </c>
    </row>
    <row r="950" spans="1:4" x14ac:dyDescent="0.25">
      <c r="A950" t="s">
        <v>1054</v>
      </c>
      <c r="B950" t="s">
        <v>2291</v>
      </c>
      <c r="C950" t="s">
        <v>1060</v>
      </c>
      <c r="D950" t="str">
        <f t="shared" si="14"/>
        <v>pdf</v>
      </c>
    </row>
    <row r="951" spans="1:4" x14ac:dyDescent="0.25">
      <c r="A951" t="s">
        <v>1061</v>
      </c>
      <c r="B951" t="s">
        <v>2292</v>
      </c>
      <c r="C951" t="s">
        <v>40</v>
      </c>
      <c r="D951" t="str">
        <f t="shared" si="14"/>
        <v>las</v>
      </c>
    </row>
    <row r="952" spans="1:4" x14ac:dyDescent="0.25">
      <c r="A952" t="s">
        <v>1061</v>
      </c>
      <c r="B952" t="s">
        <v>2292</v>
      </c>
      <c r="C952" t="s">
        <v>42</v>
      </c>
      <c r="D952" t="str">
        <f t="shared" si="14"/>
        <v>pdf</v>
      </c>
    </row>
    <row r="953" spans="1:4" x14ac:dyDescent="0.25">
      <c r="A953" t="s">
        <v>1061</v>
      </c>
      <c r="B953" t="s">
        <v>2292</v>
      </c>
      <c r="C953" t="s">
        <v>43</v>
      </c>
      <c r="D953" t="str">
        <f t="shared" si="14"/>
        <v>pdf</v>
      </c>
    </row>
    <row r="954" spans="1:4" x14ac:dyDescent="0.25">
      <c r="A954" t="s">
        <v>1062</v>
      </c>
      <c r="B954" t="s">
        <v>2269</v>
      </c>
      <c r="C954" t="s">
        <v>113</v>
      </c>
      <c r="D954" t="str">
        <f t="shared" si="14"/>
        <v>jpg</v>
      </c>
    </row>
    <row r="955" spans="1:4" x14ac:dyDescent="0.25">
      <c r="A955" t="s">
        <v>1062</v>
      </c>
      <c r="B955" t="s">
        <v>2269</v>
      </c>
      <c r="C955" t="s">
        <v>114</v>
      </c>
      <c r="D955" t="str">
        <f t="shared" si="14"/>
        <v>jpg</v>
      </c>
    </row>
    <row r="956" spans="1:4" x14ac:dyDescent="0.25">
      <c r="A956" t="s">
        <v>1062</v>
      </c>
      <c r="B956" t="s">
        <v>2269</v>
      </c>
      <c r="C956" t="s">
        <v>115</v>
      </c>
      <c r="D956" t="str">
        <f t="shared" si="14"/>
        <v>jpg</v>
      </c>
    </row>
    <row r="957" spans="1:4" x14ac:dyDescent="0.25">
      <c r="A957" t="s">
        <v>1062</v>
      </c>
      <c r="B957" t="s">
        <v>2269</v>
      </c>
      <c r="C957" t="s">
        <v>116</v>
      </c>
      <c r="D957" t="str">
        <f t="shared" si="14"/>
        <v>jpg</v>
      </c>
    </row>
    <row r="958" spans="1:4" x14ac:dyDescent="0.25">
      <c r="A958" t="s">
        <v>1062</v>
      </c>
      <c r="B958" t="s">
        <v>2269</v>
      </c>
      <c r="C958" t="s">
        <v>117</v>
      </c>
      <c r="D958" t="str">
        <f t="shared" si="14"/>
        <v>jpg</v>
      </c>
    </row>
    <row r="959" spans="1:4" x14ac:dyDescent="0.25">
      <c r="A959" t="s">
        <v>1062</v>
      </c>
      <c r="B959" t="s">
        <v>2269</v>
      </c>
      <c r="C959" t="s">
        <v>118</v>
      </c>
      <c r="D959" t="str">
        <f t="shared" si="14"/>
        <v>jpg</v>
      </c>
    </row>
    <row r="960" spans="1:4" x14ac:dyDescent="0.25">
      <c r="A960" t="s">
        <v>1062</v>
      </c>
      <c r="B960" t="s">
        <v>2269</v>
      </c>
      <c r="C960" t="s">
        <v>119</v>
      </c>
      <c r="D960" t="str">
        <f t="shared" si="14"/>
        <v>jpg</v>
      </c>
    </row>
    <row r="961" spans="1:4" x14ac:dyDescent="0.25">
      <c r="A961" t="s">
        <v>1062</v>
      </c>
      <c r="B961" t="s">
        <v>2269</v>
      </c>
      <c r="C961" t="s">
        <v>120</v>
      </c>
      <c r="D961" t="str">
        <f t="shared" si="14"/>
        <v>jpg</v>
      </c>
    </row>
    <row r="962" spans="1:4" x14ac:dyDescent="0.25">
      <c r="A962" t="s">
        <v>1062</v>
      </c>
      <c r="B962" t="s">
        <v>2269</v>
      </c>
      <c r="C962" t="s">
        <v>121</v>
      </c>
      <c r="D962" t="str">
        <f t="shared" si="14"/>
        <v>jpg</v>
      </c>
    </row>
    <row r="963" spans="1:4" x14ac:dyDescent="0.25">
      <c r="A963" t="s">
        <v>1062</v>
      </c>
      <c r="B963" t="s">
        <v>2269</v>
      </c>
      <c r="C963" t="s">
        <v>122</v>
      </c>
      <c r="D963" t="str">
        <f t="shared" ref="D963:D1026" si="15">IF(ISNUMBER(SEARCH(".pdf",C963)),"pdf",IF(ISNUMBER(SEARCH(".tif",C963)),"tif",IF(ISNUMBER(SEARCH(".las",C963)),"las",IF(ISNUMBER(SEARCH(".sdg",C963)),"sdg",IF(ISNUMBER(SEARCH(".xlsx",C963)),"xlsx",IF(ISNUMBER(SEARCH(".docx",C963)),"docx",IF(ISNUMBER(SEARCH(".rhistory",C963)),"rhistory",IF(ISNUMBER(SEARCH(".db",C963)),"db",IF(ISNUMBER(SEARCH(".jpg",C963)),"jpg",IF(ISNUMBER(SEARCH(".png",C963)),"png",IF(ISNUMBER(SEARCH(".mdb",C963)),"mdb",IF(ISNUMBER(SEARCH(".xml",C963)),"xml",IF(ISNUMBER(SEARCH(".xls",C963)),"xls",IF(ISNUMBER(SEARCH(".txt",C963)),"txt",IF(ISNUMBER(SEARCH(".tsf",C963)),"tsf",IF(ISNUMBER(SEARCH(".sch",C963)),"sch","ZIP oder R"))))))))))))))))</f>
        <v>jpg</v>
      </c>
    </row>
    <row r="964" spans="1:4" x14ac:dyDescent="0.25">
      <c r="A964" t="s">
        <v>1062</v>
      </c>
      <c r="B964" t="s">
        <v>2269</v>
      </c>
      <c r="C964" t="s">
        <v>123</v>
      </c>
      <c r="D964" t="str">
        <f t="shared" si="15"/>
        <v>jpg</v>
      </c>
    </row>
    <row r="965" spans="1:4" x14ac:dyDescent="0.25">
      <c r="A965" t="s">
        <v>1062</v>
      </c>
      <c r="B965" t="s">
        <v>2269</v>
      </c>
      <c r="C965" t="s">
        <v>124</v>
      </c>
      <c r="D965" t="str">
        <f t="shared" si="15"/>
        <v>jpg</v>
      </c>
    </row>
    <row r="966" spans="1:4" x14ac:dyDescent="0.25">
      <c r="A966" t="s">
        <v>1062</v>
      </c>
      <c r="B966" t="s">
        <v>2269</v>
      </c>
      <c r="C966" t="s">
        <v>125</v>
      </c>
      <c r="D966" t="str">
        <f t="shared" si="15"/>
        <v>jpg</v>
      </c>
    </row>
    <row r="967" spans="1:4" x14ac:dyDescent="0.25">
      <c r="A967" t="s">
        <v>1062</v>
      </c>
      <c r="B967" t="s">
        <v>2269</v>
      </c>
      <c r="C967" t="s">
        <v>126</v>
      </c>
      <c r="D967" t="str">
        <f t="shared" si="15"/>
        <v>jpg</v>
      </c>
    </row>
    <row r="968" spans="1:4" x14ac:dyDescent="0.25">
      <c r="A968" t="s">
        <v>1062</v>
      </c>
      <c r="B968" t="s">
        <v>2269</v>
      </c>
      <c r="C968" t="s">
        <v>127</v>
      </c>
      <c r="D968" t="str">
        <f t="shared" si="15"/>
        <v>jpg</v>
      </c>
    </row>
    <row r="969" spans="1:4" x14ac:dyDescent="0.25">
      <c r="A969" t="s">
        <v>1062</v>
      </c>
      <c r="B969" t="s">
        <v>2269</v>
      </c>
      <c r="C969" t="s">
        <v>128</v>
      </c>
      <c r="D969" t="str">
        <f t="shared" si="15"/>
        <v>jpg</v>
      </c>
    </row>
    <row r="970" spans="1:4" x14ac:dyDescent="0.25">
      <c r="A970" t="s">
        <v>1062</v>
      </c>
      <c r="B970" t="s">
        <v>2269</v>
      </c>
      <c r="C970" t="s">
        <v>129</v>
      </c>
      <c r="D970" t="str">
        <f t="shared" si="15"/>
        <v>jpg</v>
      </c>
    </row>
    <row r="971" spans="1:4" x14ac:dyDescent="0.25">
      <c r="A971" t="s">
        <v>1062</v>
      </c>
      <c r="B971" t="s">
        <v>2269</v>
      </c>
      <c r="C971" t="s">
        <v>130</v>
      </c>
      <c r="D971" t="str">
        <f t="shared" si="15"/>
        <v>jpg</v>
      </c>
    </row>
    <row r="972" spans="1:4" x14ac:dyDescent="0.25">
      <c r="A972" t="s">
        <v>1062</v>
      </c>
      <c r="B972" t="s">
        <v>2269</v>
      </c>
      <c r="C972" t="s">
        <v>131</v>
      </c>
      <c r="D972" t="str">
        <f t="shared" si="15"/>
        <v>jpg</v>
      </c>
    </row>
    <row r="973" spans="1:4" x14ac:dyDescent="0.25">
      <c r="A973" t="s">
        <v>1062</v>
      </c>
      <c r="B973" t="s">
        <v>2269</v>
      </c>
      <c r="C973" t="s">
        <v>132</v>
      </c>
      <c r="D973" t="str">
        <f t="shared" si="15"/>
        <v>jpg</v>
      </c>
    </row>
    <row r="974" spans="1:4" x14ac:dyDescent="0.25">
      <c r="A974" t="s">
        <v>1062</v>
      </c>
      <c r="B974" t="s">
        <v>2269</v>
      </c>
      <c r="C974" t="s">
        <v>133</v>
      </c>
      <c r="D974" t="str">
        <f t="shared" si="15"/>
        <v>jpg</v>
      </c>
    </row>
    <row r="975" spans="1:4" x14ac:dyDescent="0.25">
      <c r="A975" t="s">
        <v>1062</v>
      </c>
      <c r="B975" t="s">
        <v>2269</v>
      </c>
      <c r="C975" t="s">
        <v>134</v>
      </c>
      <c r="D975" t="str">
        <f t="shared" si="15"/>
        <v>jpg</v>
      </c>
    </row>
    <row r="976" spans="1:4" x14ac:dyDescent="0.25">
      <c r="A976" t="s">
        <v>1062</v>
      </c>
      <c r="B976" t="s">
        <v>2269</v>
      </c>
      <c r="C976" t="s">
        <v>135</v>
      </c>
      <c r="D976" t="str">
        <f t="shared" si="15"/>
        <v>jpg</v>
      </c>
    </row>
    <row r="977" spans="1:4" x14ac:dyDescent="0.25">
      <c r="A977" t="s">
        <v>1062</v>
      </c>
      <c r="B977" t="s">
        <v>2269</v>
      </c>
      <c r="C977" t="s">
        <v>136</v>
      </c>
      <c r="D977" t="str">
        <f t="shared" si="15"/>
        <v>jpg</v>
      </c>
    </row>
    <row r="978" spans="1:4" x14ac:dyDescent="0.25">
      <c r="A978" t="s">
        <v>1062</v>
      </c>
      <c r="B978" t="s">
        <v>2269</v>
      </c>
      <c r="C978" t="s">
        <v>137</v>
      </c>
      <c r="D978" t="str">
        <f t="shared" si="15"/>
        <v>jpg</v>
      </c>
    </row>
    <row r="979" spans="1:4" x14ac:dyDescent="0.25">
      <c r="A979" t="s">
        <v>1062</v>
      </c>
      <c r="B979" t="s">
        <v>2269</v>
      </c>
      <c r="C979" t="s">
        <v>138</v>
      </c>
      <c r="D979" t="str">
        <f t="shared" si="15"/>
        <v>jpg</v>
      </c>
    </row>
    <row r="980" spans="1:4" x14ac:dyDescent="0.25">
      <c r="A980" t="s">
        <v>1062</v>
      </c>
      <c r="B980" t="s">
        <v>2269</v>
      </c>
      <c r="C980" t="s">
        <v>139</v>
      </c>
      <c r="D980" t="str">
        <f t="shared" si="15"/>
        <v>jpg</v>
      </c>
    </row>
    <row r="981" spans="1:4" x14ac:dyDescent="0.25">
      <c r="A981" t="s">
        <v>1062</v>
      </c>
      <c r="B981" t="s">
        <v>2269</v>
      </c>
      <c r="C981" t="s">
        <v>140</v>
      </c>
      <c r="D981" t="str">
        <f t="shared" si="15"/>
        <v>jpg</v>
      </c>
    </row>
    <row r="982" spans="1:4" x14ac:dyDescent="0.25">
      <c r="A982" t="s">
        <v>1062</v>
      </c>
      <c r="B982" t="s">
        <v>2269</v>
      </c>
      <c r="C982" t="s">
        <v>141</v>
      </c>
      <c r="D982" t="str">
        <f t="shared" si="15"/>
        <v>jpg</v>
      </c>
    </row>
    <row r="983" spans="1:4" x14ac:dyDescent="0.25">
      <c r="A983" t="s">
        <v>1062</v>
      </c>
      <c r="B983" t="s">
        <v>2269</v>
      </c>
      <c r="C983" t="s">
        <v>142</v>
      </c>
      <c r="D983" t="str">
        <f t="shared" si="15"/>
        <v>jpg</v>
      </c>
    </row>
    <row r="984" spans="1:4" x14ac:dyDescent="0.25">
      <c r="A984" t="s">
        <v>1062</v>
      </c>
      <c r="B984" t="s">
        <v>2269</v>
      </c>
      <c r="C984" t="s">
        <v>143</v>
      </c>
      <c r="D984" t="str">
        <f t="shared" si="15"/>
        <v>jpg</v>
      </c>
    </row>
    <row r="985" spans="1:4" x14ac:dyDescent="0.25">
      <c r="A985" t="s">
        <v>1062</v>
      </c>
      <c r="B985" t="s">
        <v>2269</v>
      </c>
      <c r="C985" t="s">
        <v>144</v>
      </c>
      <c r="D985" t="str">
        <f t="shared" si="15"/>
        <v>jpg</v>
      </c>
    </row>
    <row r="986" spans="1:4" x14ac:dyDescent="0.25">
      <c r="A986" t="s">
        <v>1062</v>
      </c>
      <c r="B986" t="s">
        <v>2269</v>
      </c>
      <c r="C986" t="s">
        <v>145</v>
      </c>
      <c r="D986" t="str">
        <f t="shared" si="15"/>
        <v>jpg</v>
      </c>
    </row>
    <row r="987" spans="1:4" x14ac:dyDescent="0.25">
      <c r="A987" t="s">
        <v>1062</v>
      </c>
      <c r="B987" t="s">
        <v>2269</v>
      </c>
      <c r="C987" t="s">
        <v>146</v>
      </c>
      <c r="D987" t="str">
        <f t="shared" si="15"/>
        <v>jpg</v>
      </c>
    </row>
    <row r="988" spans="1:4" x14ac:dyDescent="0.25">
      <c r="A988" t="s">
        <v>1062</v>
      </c>
      <c r="B988" t="s">
        <v>2269</v>
      </c>
      <c r="C988" t="s">
        <v>147</v>
      </c>
      <c r="D988" t="str">
        <f t="shared" si="15"/>
        <v>jpg</v>
      </c>
    </row>
    <row r="989" spans="1:4" x14ac:dyDescent="0.25">
      <c r="A989" t="s">
        <v>1062</v>
      </c>
      <c r="B989" t="s">
        <v>2269</v>
      </c>
      <c r="C989" t="s">
        <v>148</v>
      </c>
      <c r="D989" t="str">
        <f t="shared" si="15"/>
        <v>jpg</v>
      </c>
    </row>
    <row r="990" spans="1:4" x14ac:dyDescent="0.25">
      <c r="A990" t="s">
        <v>1062</v>
      </c>
      <c r="B990" t="s">
        <v>2269</v>
      </c>
      <c r="C990" t="s">
        <v>149</v>
      </c>
      <c r="D990" t="str">
        <f t="shared" si="15"/>
        <v>jpg</v>
      </c>
    </row>
    <row r="991" spans="1:4" x14ac:dyDescent="0.25">
      <c r="A991" t="s">
        <v>1062</v>
      </c>
      <c r="B991" t="s">
        <v>2269</v>
      </c>
      <c r="C991" t="s">
        <v>150</v>
      </c>
      <c r="D991" t="str">
        <f t="shared" si="15"/>
        <v>jpg</v>
      </c>
    </row>
    <row r="992" spans="1:4" x14ac:dyDescent="0.25">
      <c r="A992" t="s">
        <v>1062</v>
      </c>
      <c r="B992" t="s">
        <v>2269</v>
      </c>
      <c r="C992" t="s">
        <v>151</v>
      </c>
      <c r="D992" t="str">
        <f t="shared" si="15"/>
        <v>jpg</v>
      </c>
    </row>
    <row r="993" spans="1:4" x14ac:dyDescent="0.25">
      <c r="A993" t="s">
        <v>1062</v>
      </c>
      <c r="B993" t="s">
        <v>2269</v>
      </c>
      <c r="C993" t="s">
        <v>152</v>
      </c>
      <c r="D993" t="str">
        <f t="shared" si="15"/>
        <v>jpg</v>
      </c>
    </row>
    <row r="994" spans="1:4" x14ac:dyDescent="0.25">
      <c r="A994" t="s">
        <v>1062</v>
      </c>
      <c r="B994" t="s">
        <v>2269</v>
      </c>
      <c r="C994" t="s">
        <v>153</v>
      </c>
      <c r="D994" t="str">
        <f t="shared" si="15"/>
        <v>jpg</v>
      </c>
    </row>
    <row r="995" spans="1:4" x14ac:dyDescent="0.25">
      <c r="A995" t="s">
        <v>1062</v>
      </c>
      <c r="B995" t="s">
        <v>2269</v>
      </c>
      <c r="C995" t="s">
        <v>154</v>
      </c>
      <c r="D995" t="str">
        <f t="shared" si="15"/>
        <v>jpg</v>
      </c>
    </row>
    <row r="996" spans="1:4" x14ac:dyDescent="0.25">
      <c r="A996" t="s">
        <v>1062</v>
      </c>
      <c r="B996" t="s">
        <v>2269</v>
      </c>
      <c r="C996" t="s">
        <v>155</v>
      </c>
      <c r="D996" t="str">
        <f t="shared" si="15"/>
        <v>jpg</v>
      </c>
    </row>
    <row r="997" spans="1:4" x14ac:dyDescent="0.25">
      <c r="A997" t="s">
        <v>1062</v>
      </c>
      <c r="B997" t="s">
        <v>2269</v>
      </c>
      <c r="C997" t="s">
        <v>156</v>
      </c>
      <c r="D997" t="str">
        <f t="shared" si="15"/>
        <v>jpg</v>
      </c>
    </row>
    <row r="998" spans="1:4" x14ac:dyDescent="0.25">
      <c r="A998" t="s">
        <v>1062</v>
      </c>
      <c r="B998" t="s">
        <v>2269</v>
      </c>
      <c r="C998" t="s">
        <v>157</v>
      </c>
      <c r="D998" t="str">
        <f t="shared" si="15"/>
        <v>jpg</v>
      </c>
    </row>
    <row r="999" spans="1:4" x14ac:dyDescent="0.25">
      <c r="A999" t="s">
        <v>1062</v>
      </c>
      <c r="B999" t="s">
        <v>2269</v>
      </c>
      <c r="C999" t="s">
        <v>158</v>
      </c>
      <c r="D999" t="str">
        <f t="shared" si="15"/>
        <v>jpg</v>
      </c>
    </row>
    <row r="1000" spans="1:4" x14ac:dyDescent="0.25">
      <c r="A1000" t="s">
        <v>1062</v>
      </c>
      <c r="B1000" t="s">
        <v>2269</v>
      </c>
      <c r="C1000" t="s">
        <v>159</v>
      </c>
      <c r="D1000" t="str">
        <f t="shared" si="15"/>
        <v>jpg</v>
      </c>
    </row>
    <row r="1001" spans="1:4" x14ac:dyDescent="0.25">
      <c r="A1001" t="s">
        <v>1062</v>
      </c>
      <c r="B1001" t="s">
        <v>2269</v>
      </c>
      <c r="C1001" t="s">
        <v>160</v>
      </c>
      <c r="D1001" t="str">
        <f t="shared" si="15"/>
        <v>jpg</v>
      </c>
    </row>
    <row r="1002" spans="1:4" x14ac:dyDescent="0.25">
      <c r="A1002" t="s">
        <v>1062</v>
      </c>
      <c r="B1002" t="s">
        <v>2269</v>
      </c>
      <c r="C1002" t="s">
        <v>161</v>
      </c>
      <c r="D1002" t="str">
        <f t="shared" si="15"/>
        <v>jpg</v>
      </c>
    </row>
    <row r="1003" spans="1:4" x14ac:dyDescent="0.25">
      <c r="A1003" t="s">
        <v>1062</v>
      </c>
      <c r="B1003" t="s">
        <v>2269</v>
      </c>
      <c r="C1003" t="s">
        <v>162</v>
      </c>
      <c r="D1003" t="str">
        <f t="shared" si="15"/>
        <v>jpg</v>
      </c>
    </row>
    <row r="1004" spans="1:4" x14ac:dyDescent="0.25">
      <c r="A1004" t="s">
        <v>1062</v>
      </c>
      <c r="B1004" t="s">
        <v>2269</v>
      </c>
      <c r="C1004" t="s">
        <v>163</v>
      </c>
      <c r="D1004" t="str">
        <f t="shared" si="15"/>
        <v>jpg</v>
      </c>
    </row>
    <row r="1005" spans="1:4" x14ac:dyDescent="0.25">
      <c r="A1005" t="s">
        <v>1062</v>
      </c>
      <c r="B1005" t="s">
        <v>2269</v>
      </c>
      <c r="C1005" t="s">
        <v>164</v>
      </c>
      <c r="D1005" t="str">
        <f t="shared" si="15"/>
        <v>jpg</v>
      </c>
    </row>
    <row r="1006" spans="1:4" x14ac:dyDescent="0.25">
      <c r="A1006" t="s">
        <v>1062</v>
      </c>
      <c r="B1006" t="s">
        <v>2269</v>
      </c>
      <c r="C1006" t="s">
        <v>165</v>
      </c>
      <c r="D1006" t="str">
        <f t="shared" si="15"/>
        <v>jpg</v>
      </c>
    </row>
    <row r="1007" spans="1:4" x14ac:dyDescent="0.25">
      <c r="A1007" t="s">
        <v>1062</v>
      </c>
      <c r="B1007" t="s">
        <v>2269</v>
      </c>
      <c r="C1007" t="s">
        <v>166</v>
      </c>
      <c r="D1007" t="str">
        <f t="shared" si="15"/>
        <v>jpg</v>
      </c>
    </row>
    <row r="1008" spans="1:4" x14ac:dyDescent="0.25">
      <c r="A1008" t="s">
        <v>1062</v>
      </c>
      <c r="B1008" t="s">
        <v>2269</v>
      </c>
      <c r="C1008" t="s">
        <v>167</v>
      </c>
      <c r="D1008" t="str">
        <f t="shared" si="15"/>
        <v>jpg</v>
      </c>
    </row>
    <row r="1009" spans="1:4" x14ac:dyDescent="0.25">
      <c r="A1009" t="s">
        <v>1062</v>
      </c>
      <c r="B1009" t="s">
        <v>2269</v>
      </c>
      <c r="C1009" t="s">
        <v>168</v>
      </c>
      <c r="D1009" t="str">
        <f t="shared" si="15"/>
        <v>jpg</v>
      </c>
    </row>
    <row r="1010" spans="1:4" x14ac:dyDescent="0.25">
      <c r="A1010" t="s">
        <v>1062</v>
      </c>
      <c r="B1010" t="s">
        <v>2269</v>
      </c>
      <c r="C1010" t="s">
        <v>169</v>
      </c>
      <c r="D1010" t="str">
        <f t="shared" si="15"/>
        <v>jpg</v>
      </c>
    </row>
    <row r="1011" spans="1:4" x14ac:dyDescent="0.25">
      <c r="A1011" t="s">
        <v>1062</v>
      </c>
      <c r="B1011" t="s">
        <v>2269</v>
      </c>
      <c r="C1011" t="s">
        <v>170</v>
      </c>
      <c r="D1011" t="str">
        <f t="shared" si="15"/>
        <v>jpg</v>
      </c>
    </row>
    <row r="1012" spans="1:4" x14ac:dyDescent="0.25">
      <c r="A1012" t="s">
        <v>1062</v>
      </c>
      <c r="B1012" t="s">
        <v>2269</v>
      </c>
      <c r="C1012" t="s">
        <v>171</v>
      </c>
      <c r="D1012" t="str">
        <f t="shared" si="15"/>
        <v>jpg</v>
      </c>
    </row>
    <row r="1013" spans="1:4" x14ac:dyDescent="0.25">
      <c r="A1013" t="s">
        <v>1062</v>
      </c>
      <c r="B1013" t="s">
        <v>2269</v>
      </c>
      <c r="C1013" t="s">
        <v>172</v>
      </c>
      <c r="D1013" t="str">
        <f t="shared" si="15"/>
        <v>jpg</v>
      </c>
    </row>
    <row r="1014" spans="1:4" x14ac:dyDescent="0.25">
      <c r="A1014" t="s">
        <v>1062</v>
      </c>
      <c r="B1014" t="s">
        <v>2269</v>
      </c>
      <c r="C1014" t="s">
        <v>173</v>
      </c>
      <c r="D1014" t="str">
        <f t="shared" si="15"/>
        <v>jpg</v>
      </c>
    </row>
    <row r="1015" spans="1:4" x14ac:dyDescent="0.25">
      <c r="A1015" t="s">
        <v>1062</v>
      </c>
      <c r="B1015" t="s">
        <v>2269</v>
      </c>
      <c r="C1015" t="s">
        <v>174</v>
      </c>
      <c r="D1015" t="str">
        <f t="shared" si="15"/>
        <v>jpg</v>
      </c>
    </row>
    <row r="1016" spans="1:4" x14ac:dyDescent="0.25">
      <c r="A1016" t="s">
        <v>1062</v>
      </c>
      <c r="B1016" t="s">
        <v>2269</v>
      </c>
      <c r="C1016" t="s">
        <v>175</v>
      </c>
      <c r="D1016" t="str">
        <f t="shared" si="15"/>
        <v>jpg</v>
      </c>
    </row>
    <row r="1017" spans="1:4" x14ac:dyDescent="0.25">
      <c r="A1017" t="s">
        <v>1062</v>
      </c>
      <c r="B1017" t="s">
        <v>2269</v>
      </c>
      <c r="C1017" t="s">
        <v>176</v>
      </c>
      <c r="D1017" t="str">
        <f t="shared" si="15"/>
        <v>jpg</v>
      </c>
    </row>
    <row r="1018" spans="1:4" x14ac:dyDescent="0.25">
      <c r="A1018" t="s">
        <v>1062</v>
      </c>
      <c r="B1018" t="s">
        <v>2269</v>
      </c>
      <c r="C1018" t="s">
        <v>177</v>
      </c>
      <c r="D1018" t="str">
        <f t="shared" si="15"/>
        <v>jpg</v>
      </c>
    </row>
    <row r="1019" spans="1:4" x14ac:dyDescent="0.25">
      <c r="A1019" t="s">
        <v>1062</v>
      </c>
      <c r="B1019" t="s">
        <v>2269</v>
      </c>
      <c r="C1019" t="s">
        <v>178</v>
      </c>
      <c r="D1019" t="str">
        <f t="shared" si="15"/>
        <v>jpg</v>
      </c>
    </row>
    <row r="1020" spans="1:4" x14ac:dyDescent="0.25">
      <c r="A1020" t="s">
        <v>1062</v>
      </c>
      <c r="B1020" t="s">
        <v>2269</v>
      </c>
      <c r="C1020" t="s">
        <v>179</v>
      </c>
      <c r="D1020" t="str">
        <f t="shared" si="15"/>
        <v>jpg</v>
      </c>
    </row>
    <row r="1021" spans="1:4" x14ac:dyDescent="0.25">
      <c r="A1021" t="s">
        <v>1062</v>
      </c>
      <c r="B1021" t="s">
        <v>2269</v>
      </c>
      <c r="C1021" t="s">
        <v>180</v>
      </c>
      <c r="D1021" t="str">
        <f t="shared" si="15"/>
        <v>jpg</v>
      </c>
    </row>
    <row r="1022" spans="1:4" x14ac:dyDescent="0.25">
      <c r="A1022" t="s">
        <v>1062</v>
      </c>
      <c r="B1022" t="s">
        <v>2269</v>
      </c>
      <c r="C1022" t="s">
        <v>181</v>
      </c>
      <c r="D1022" t="str">
        <f t="shared" si="15"/>
        <v>jpg</v>
      </c>
    </row>
    <row r="1023" spans="1:4" x14ac:dyDescent="0.25">
      <c r="A1023" t="s">
        <v>1062</v>
      </c>
      <c r="B1023" t="s">
        <v>2269</v>
      </c>
      <c r="C1023" t="s">
        <v>182</v>
      </c>
      <c r="D1023" t="str">
        <f t="shared" si="15"/>
        <v>jpg</v>
      </c>
    </row>
    <row r="1024" spans="1:4" x14ac:dyDescent="0.25">
      <c r="A1024" t="s">
        <v>1062</v>
      </c>
      <c r="B1024" t="s">
        <v>2269</v>
      </c>
      <c r="C1024" t="s">
        <v>183</v>
      </c>
      <c r="D1024" t="str">
        <f t="shared" si="15"/>
        <v>jpg</v>
      </c>
    </row>
    <row r="1025" spans="1:4" x14ac:dyDescent="0.25">
      <c r="A1025" t="s">
        <v>1062</v>
      </c>
      <c r="B1025" t="s">
        <v>2269</v>
      </c>
      <c r="C1025" t="s">
        <v>184</v>
      </c>
      <c r="D1025" t="str">
        <f t="shared" si="15"/>
        <v>jpg</v>
      </c>
    </row>
    <row r="1026" spans="1:4" x14ac:dyDescent="0.25">
      <c r="A1026" t="s">
        <v>1062</v>
      </c>
      <c r="B1026" t="s">
        <v>2269</v>
      </c>
      <c r="C1026" t="s">
        <v>185</v>
      </c>
      <c r="D1026" t="str">
        <f t="shared" si="15"/>
        <v>jpg</v>
      </c>
    </row>
    <row r="1027" spans="1:4" x14ac:dyDescent="0.25">
      <c r="A1027" t="s">
        <v>1062</v>
      </c>
      <c r="B1027" t="s">
        <v>2269</v>
      </c>
      <c r="C1027" t="s">
        <v>186</v>
      </c>
      <c r="D1027" t="str">
        <f t="shared" ref="D1027:D1090" si="16">IF(ISNUMBER(SEARCH(".pdf",C1027)),"pdf",IF(ISNUMBER(SEARCH(".tif",C1027)),"tif",IF(ISNUMBER(SEARCH(".las",C1027)),"las",IF(ISNUMBER(SEARCH(".sdg",C1027)),"sdg",IF(ISNUMBER(SEARCH(".xlsx",C1027)),"xlsx",IF(ISNUMBER(SEARCH(".docx",C1027)),"docx",IF(ISNUMBER(SEARCH(".rhistory",C1027)),"rhistory",IF(ISNUMBER(SEARCH(".db",C1027)),"db",IF(ISNUMBER(SEARCH(".jpg",C1027)),"jpg",IF(ISNUMBER(SEARCH(".png",C1027)),"png",IF(ISNUMBER(SEARCH(".mdb",C1027)),"mdb",IF(ISNUMBER(SEARCH(".xml",C1027)),"xml",IF(ISNUMBER(SEARCH(".xls",C1027)),"xls",IF(ISNUMBER(SEARCH(".txt",C1027)),"txt",IF(ISNUMBER(SEARCH(".tsf",C1027)),"tsf",IF(ISNUMBER(SEARCH(".sch",C1027)),"sch","ZIP oder R"))))))))))))))))</f>
        <v>jpg</v>
      </c>
    </row>
    <row r="1028" spans="1:4" x14ac:dyDescent="0.25">
      <c r="A1028" t="s">
        <v>1062</v>
      </c>
      <c r="B1028" t="s">
        <v>2269</v>
      </c>
      <c r="C1028" t="s">
        <v>187</v>
      </c>
      <c r="D1028" t="str">
        <f t="shared" si="16"/>
        <v>jpg</v>
      </c>
    </row>
    <row r="1029" spans="1:4" x14ac:dyDescent="0.25">
      <c r="A1029" t="s">
        <v>1062</v>
      </c>
      <c r="B1029" t="s">
        <v>2269</v>
      </c>
      <c r="C1029" t="s">
        <v>188</v>
      </c>
      <c r="D1029" t="str">
        <f t="shared" si="16"/>
        <v>jpg</v>
      </c>
    </row>
    <row r="1030" spans="1:4" x14ac:dyDescent="0.25">
      <c r="A1030" t="s">
        <v>1062</v>
      </c>
      <c r="B1030" t="s">
        <v>2269</v>
      </c>
      <c r="C1030" t="s">
        <v>189</v>
      </c>
      <c r="D1030" t="str">
        <f t="shared" si="16"/>
        <v>jpg</v>
      </c>
    </row>
    <row r="1031" spans="1:4" x14ac:dyDescent="0.25">
      <c r="A1031" t="s">
        <v>1062</v>
      </c>
      <c r="B1031" t="s">
        <v>2269</v>
      </c>
      <c r="C1031" t="s">
        <v>190</v>
      </c>
      <c r="D1031" t="str">
        <f t="shared" si="16"/>
        <v>jpg</v>
      </c>
    </row>
    <row r="1032" spans="1:4" x14ac:dyDescent="0.25">
      <c r="A1032" t="s">
        <v>1062</v>
      </c>
      <c r="B1032" t="s">
        <v>2269</v>
      </c>
      <c r="C1032" t="s">
        <v>191</v>
      </c>
      <c r="D1032" t="str">
        <f t="shared" si="16"/>
        <v>jpg</v>
      </c>
    </row>
    <row r="1033" spans="1:4" x14ac:dyDescent="0.25">
      <c r="A1033" t="s">
        <v>1062</v>
      </c>
      <c r="B1033" t="s">
        <v>2269</v>
      </c>
      <c r="C1033" t="s">
        <v>192</v>
      </c>
      <c r="D1033" t="str">
        <f t="shared" si="16"/>
        <v>jpg</v>
      </c>
    </row>
    <row r="1034" spans="1:4" x14ac:dyDescent="0.25">
      <c r="A1034" t="s">
        <v>1062</v>
      </c>
      <c r="B1034" t="s">
        <v>2269</v>
      </c>
      <c r="C1034" t="s">
        <v>193</v>
      </c>
      <c r="D1034" t="str">
        <f t="shared" si="16"/>
        <v>jpg</v>
      </c>
    </row>
    <row r="1035" spans="1:4" x14ac:dyDescent="0.25">
      <c r="A1035" t="s">
        <v>1062</v>
      </c>
      <c r="B1035" t="s">
        <v>2269</v>
      </c>
      <c r="C1035" t="s">
        <v>194</v>
      </c>
      <c r="D1035" t="str">
        <f t="shared" si="16"/>
        <v>jpg</v>
      </c>
    </row>
    <row r="1036" spans="1:4" x14ac:dyDescent="0.25">
      <c r="A1036" t="s">
        <v>1062</v>
      </c>
      <c r="B1036" t="s">
        <v>2269</v>
      </c>
      <c r="C1036" t="s">
        <v>195</v>
      </c>
      <c r="D1036" t="str">
        <f t="shared" si="16"/>
        <v>jpg</v>
      </c>
    </row>
    <row r="1037" spans="1:4" x14ac:dyDescent="0.25">
      <c r="A1037" t="s">
        <v>1062</v>
      </c>
      <c r="B1037" t="s">
        <v>2269</v>
      </c>
      <c r="C1037" t="s">
        <v>196</v>
      </c>
      <c r="D1037" t="str">
        <f t="shared" si="16"/>
        <v>jpg</v>
      </c>
    </row>
    <row r="1038" spans="1:4" x14ac:dyDescent="0.25">
      <c r="A1038" t="s">
        <v>1062</v>
      </c>
      <c r="B1038" t="s">
        <v>2269</v>
      </c>
      <c r="C1038" t="s">
        <v>197</v>
      </c>
      <c r="D1038" t="str">
        <f t="shared" si="16"/>
        <v>jpg</v>
      </c>
    </row>
    <row r="1039" spans="1:4" x14ac:dyDescent="0.25">
      <c r="A1039" t="s">
        <v>1062</v>
      </c>
      <c r="B1039" t="s">
        <v>2269</v>
      </c>
      <c r="C1039" t="s">
        <v>198</v>
      </c>
      <c r="D1039" t="str">
        <f t="shared" si="16"/>
        <v>jpg</v>
      </c>
    </row>
    <row r="1040" spans="1:4" x14ac:dyDescent="0.25">
      <c r="A1040" t="s">
        <v>1062</v>
      </c>
      <c r="B1040" t="s">
        <v>2269</v>
      </c>
      <c r="C1040" t="s">
        <v>199</v>
      </c>
      <c r="D1040" t="str">
        <f t="shared" si="16"/>
        <v>jpg</v>
      </c>
    </row>
    <row r="1041" spans="1:4" x14ac:dyDescent="0.25">
      <c r="A1041" t="s">
        <v>1062</v>
      </c>
      <c r="B1041" t="s">
        <v>2269</v>
      </c>
      <c r="C1041" t="s">
        <v>200</v>
      </c>
      <c r="D1041" t="str">
        <f t="shared" si="16"/>
        <v>jpg</v>
      </c>
    </row>
    <row r="1042" spans="1:4" x14ac:dyDescent="0.25">
      <c r="A1042" t="s">
        <v>1062</v>
      </c>
      <c r="B1042" t="s">
        <v>2269</v>
      </c>
      <c r="C1042" t="s">
        <v>201</v>
      </c>
      <c r="D1042" t="str">
        <f t="shared" si="16"/>
        <v>jpg</v>
      </c>
    </row>
    <row r="1043" spans="1:4" x14ac:dyDescent="0.25">
      <c r="A1043" t="s">
        <v>1062</v>
      </c>
      <c r="B1043" t="s">
        <v>2269</v>
      </c>
      <c r="C1043" t="s">
        <v>202</v>
      </c>
      <c r="D1043" t="str">
        <f t="shared" si="16"/>
        <v>jpg</v>
      </c>
    </row>
    <row r="1044" spans="1:4" x14ac:dyDescent="0.25">
      <c r="A1044" t="s">
        <v>1062</v>
      </c>
      <c r="B1044" t="s">
        <v>2269</v>
      </c>
      <c r="C1044" t="s">
        <v>203</v>
      </c>
      <c r="D1044" t="str">
        <f t="shared" si="16"/>
        <v>jpg</v>
      </c>
    </row>
    <row r="1045" spans="1:4" x14ac:dyDescent="0.25">
      <c r="A1045" t="s">
        <v>1062</v>
      </c>
      <c r="B1045" t="s">
        <v>2269</v>
      </c>
      <c r="C1045" t="s">
        <v>204</v>
      </c>
      <c r="D1045" t="str">
        <f t="shared" si="16"/>
        <v>jpg</v>
      </c>
    </row>
    <row r="1046" spans="1:4" x14ac:dyDescent="0.25">
      <c r="A1046" t="s">
        <v>1062</v>
      </c>
      <c r="B1046" t="s">
        <v>2269</v>
      </c>
      <c r="C1046" t="s">
        <v>205</v>
      </c>
      <c r="D1046" t="str">
        <f t="shared" si="16"/>
        <v>jpg</v>
      </c>
    </row>
    <row r="1047" spans="1:4" x14ac:dyDescent="0.25">
      <c r="A1047" t="s">
        <v>1062</v>
      </c>
      <c r="B1047" t="s">
        <v>2269</v>
      </c>
      <c r="C1047" t="s">
        <v>206</v>
      </c>
      <c r="D1047" t="str">
        <f t="shared" si="16"/>
        <v>jpg</v>
      </c>
    </row>
    <row r="1048" spans="1:4" x14ac:dyDescent="0.25">
      <c r="A1048" t="s">
        <v>1062</v>
      </c>
      <c r="B1048" t="s">
        <v>2269</v>
      </c>
      <c r="C1048" t="s">
        <v>207</v>
      </c>
      <c r="D1048" t="str">
        <f t="shared" si="16"/>
        <v>jpg</v>
      </c>
    </row>
    <row r="1049" spans="1:4" x14ac:dyDescent="0.25">
      <c r="A1049" t="s">
        <v>1062</v>
      </c>
      <c r="B1049" t="s">
        <v>2269</v>
      </c>
      <c r="C1049" t="s">
        <v>208</v>
      </c>
      <c r="D1049" t="str">
        <f t="shared" si="16"/>
        <v>jpg</v>
      </c>
    </row>
    <row r="1050" spans="1:4" x14ac:dyDescent="0.25">
      <c r="A1050" t="s">
        <v>1062</v>
      </c>
      <c r="B1050" t="s">
        <v>2269</v>
      </c>
      <c r="C1050" t="s">
        <v>209</v>
      </c>
      <c r="D1050" t="str">
        <f t="shared" si="16"/>
        <v>jpg</v>
      </c>
    </row>
    <row r="1051" spans="1:4" x14ac:dyDescent="0.25">
      <c r="A1051" t="s">
        <v>1062</v>
      </c>
      <c r="B1051" t="s">
        <v>2269</v>
      </c>
      <c r="C1051" t="s">
        <v>210</v>
      </c>
      <c r="D1051" t="str">
        <f t="shared" si="16"/>
        <v>jpg</v>
      </c>
    </row>
    <row r="1052" spans="1:4" x14ac:dyDescent="0.25">
      <c r="A1052" t="s">
        <v>1062</v>
      </c>
      <c r="B1052" t="s">
        <v>2269</v>
      </c>
      <c r="C1052" t="s">
        <v>211</v>
      </c>
      <c r="D1052" t="str">
        <f t="shared" si="16"/>
        <v>jpg</v>
      </c>
    </row>
    <row r="1053" spans="1:4" x14ac:dyDescent="0.25">
      <c r="A1053" t="s">
        <v>1062</v>
      </c>
      <c r="B1053" t="s">
        <v>2269</v>
      </c>
      <c r="C1053" t="s">
        <v>212</v>
      </c>
      <c r="D1053" t="str">
        <f t="shared" si="16"/>
        <v>jpg</v>
      </c>
    </row>
    <row r="1054" spans="1:4" x14ac:dyDescent="0.25">
      <c r="A1054" t="s">
        <v>1062</v>
      </c>
      <c r="B1054" t="s">
        <v>2269</v>
      </c>
      <c r="C1054" t="s">
        <v>213</v>
      </c>
      <c r="D1054" t="str">
        <f t="shared" si="16"/>
        <v>jpg</v>
      </c>
    </row>
    <row r="1055" spans="1:4" x14ac:dyDescent="0.25">
      <c r="A1055" t="s">
        <v>1062</v>
      </c>
      <c r="B1055" t="s">
        <v>2269</v>
      </c>
      <c r="C1055" t="s">
        <v>214</v>
      </c>
      <c r="D1055" t="str">
        <f t="shared" si="16"/>
        <v>jpg</v>
      </c>
    </row>
    <row r="1056" spans="1:4" x14ac:dyDescent="0.25">
      <c r="A1056" t="s">
        <v>1062</v>
      </c>
      <c r="B1056" t="s">
        <v>2269</v>
      </c>
      <c r="C1056" t="s">
        <v>215</v>
      </c>
      <c r="D1056" t="str">
        <f t="shared" si="16"/>
        <v>jpg</v>
      </c>
    </row>
    <row r="1057" spans="1:4" x14ac:dyDescent="0.25">
      <c r="A1057" t="s">
        <v>1062</v>
      </c>
      <c r="B1057" t="s">
        <v>2269</v>
      </c>
      <c r="C1057" t="s">
        <v>216</v>
      </c>
      <c r="D1057" t="str">
        <f t="shared" si="16"/>
        <v>jpg</v>
      </c>
    </row>
    <row r="1058" spans="1:4" x14ac:dyDescent="0.25">
      <c r="A1058" t="s">
        <v>1062</v>
      </c>
      <c r="B1058" t="s">
        <v>2269</v>
      </c>
      <c r="C1058" t="s">
        <v>217</v>
      </c>
      <c r="D1058" t="str">
        <f t="shared" si="16"/>
        <v>jpg</v>
      </c>
    </row>
    <row r="1059" spans="1:4" x14ac:dyDescent="0.25">
      <c r="A1059" t="s">
        <v>1062</v>
      </c>
      <c r="B1059" t="s">
        <v>2269</v>
      </c>
      <c r="C1059" t="s">
        <v>218</v>
      </c>
      <c r="D1059" t="str">
        <f t="shared" si="16"/>
        <v>jpg</v>
      </c>
    </row>
    <row r="1060" spans="1:4" x14ac:dyDescent="0.25">
      <c r="A1060" t="s">
        <v>1062</v>
      </c>
      <c r="B1060" t="s">
        <v>2269</v>
      </c>
      <c r="C1060" t="s">
        <v>219</v>
      </c>
      <c r="D1060" t="str">
        <f t="shared" si="16"/>
        <v>jpg</v>
      </c>
    </row>
    <row r="1061" spans="1:4" x14ac:dyDescent="0.25">
      <c r="A1061" t="s">
        <v>1062</v>
      </c>
      <c r="B1061" t="s">
        <v>2269</v>
      </c>
      <c r="C1061" t="s">
        <v>220</v>
      </c>
      <c r="D1061" t="str">
        <f t="shared" si="16"/>
        <v>jpg</v>
      </c>
    </row>
    <row r="1062" spans="1:4" x14ac:dyDescent="0.25">
      <c r="A1062" t="s">
        <v>1062</v>
      </c>
      <c r="B1062" t="s">
        <v>2269</v>
      </c>
      <c r="C1062" t="s">
        <v>221</v>
      </c>
      <c r="D1062" t="str">
        <f t="shared" si="16"/>
        <v>jpg</v>
      </c>
    </row>
    <row r="1063" spans="1:4" x14ac:dyDescent="0.25">
      <c r="A1063" t="s">
        <v>1062</v>
      </c>
      <c r="B1063" t="s">
        <v>2269</v>
      </c>
      <c r="C1063" t="s">
        <v>222</v>
      </c>
      <c r="D1063" t="str">
        <f t="shared" si="16"/>
        <v>jpg</v>
      </c>
    </row>
    <row r="1064" spans="1:4" x14ac:dyDescent="0.25">
      <c r="A1064" t="s">
        <v>1062</v>
      </c>
      <c r="B1064" t="s">
        <v>2269</v>
      </c>
      <c r="C1064" t="s">
        <v>223</v>
      </c>
      <c r="D1064" t="str">
        <f t="shared" si="16"/>
        <v>jpg</v>
      </c>
    </row>
    <row r="1065" spans="1:4" x14ac:dyDescent="0.25">
      <c r="A1065" t="s">
        <v>1062</v>
      </c>
      <c r="B1065" t="s">
        <v>2269</v>
      </c>
      <c r="C1065" t="s">
        <v>224</v>
      </c>
      <c r="D1065" t="str">
        <f t="shared" si="16"/>
        <v>jpg</v>
      </c>
    </row>
    <row r="1066" spans="1:4" x14ac:dyDescent="0.25">
      <c r="A1066" t="s">
        <v>1062</v>
      </c>
      <c r="B1066" t="s">
        <v>2269</v>
      </c>
      <c r="C1066" t="s">
        <v>225</v>
      </c>
      <c r="D1066" t="str">
        <f t="shared" si="16"/>
        <v>jpg</v>
      </c>
    </row>
    <row r="1067" spans="1:4" x14ac:dyDescent="0.25">
      <c r="A1067" t="s">
        <v>1062</v>
      </c>
      <c r="B1067" t="s">
        <v>2269</v>
      </c>
      <c r="C1067" t="s">
        <v>226</v>
      </c>
      <c r="D1067" t="str">
        <f t="shared" si="16"/>
        <v>jpg</v>
      </c>
    </row>
    <row r="1068" spans="1:4" x14ac:dyDescent="0.25">
      <c r="A1068" t="s">
        <v>1062</v>
      </c>
      <c r="B1068" t="s">
        <v>2269</v>
      </c>
      <c r="C1068" t="s">
        <v>227</v>
      </c>
      <c r="D1068" t="str">
        <f t="shared" si="16"/>
        <v>jpg</v>
      </c>
    </row>
    <row r="1069" spans="1:4" x14ac:dyDescent="0.25">
      <c r="A1069" t="s">
        <v>1062</v>
      </c>
      <c r="B1069" t="s">
        <v>2269</v>
      </c>
      <c r="C1069" t="s">
        <v>228</v>
      </c>
      <c r="D1069" t="str">
        <f t="shared" si="16"/>
        <v>jpg</v>
      </c>
    </row>
    <row r="1070" spans="1:4" x14ac:dyDescent="0.25">
      <c r="A1070" t="s">
        <v>1062</v>
      </c>
      <c r="B1070" t="s">
        <v>2269</v>
      </c>
      <c r="C1070" t="s">
        <v>229</v>
      </c>
      <c r="D1070" t="str">
        <f t="shared" si="16"/>
        <v>jpg</v>
      </c>
    </row>
    <row r="1071" spans="1:4" x14ac:dyDescent="0.25">
      <c r="A1071" t="s">
        <v>1062</v>
      </c>
      <c r="B1071" t="s">
        <v>2269</v>
      </c>
      <c r="C1071" t="s">
        <v>230</v>
      </c>
      <c r="D1071" t="str">
        <f t="shared" si="16"/>
        <v>jpg</v>
      </c>
    </row>
    <row r="1072" spans="1:4" x14ac:dyDescent="0.25">
      <c r="A1072" t="s">
        <v>1062</v>
      </c>
      <c r="B1072" t="s">
        <v>2269</v>
      </c>
      <c r="C1072" t="s">
        <v>231</v>
      </c>
      <c r="D1072" t="str">
        <f t="shared" si="16"/>
        <v>jpg</v>
      </c>
    </row>
    <row r="1073" spans="1:4" x14ac:dyDescent="0.25">
      <c r="A1073" t="s">
        <v>1062</v>
      </c>
      <c r="B1073" t="s">
        <v>2269</v>
      </c>
      <c r="C1073" t="s">
        <v>232</v>
      </c>
      <c r="D1073" t="str">
        <f t="shared" si="16"/>
        <v>jpg</v>
      </c>
    </row>
    <row r="1074" spans="1:4" x14ac:dyDescent="0.25">
      <c r="A1074" t="s">
        <v>1062</v>
      </c>
      <c r="B1074" t="s">
        <v>2269</v>
      </c>
      <c r="C1074" t="s">
        <v>233</v>
      </c>
      <c r="D1074" t="str">
        <f t="shared" si="16"/>
        <v>jpg</v>
      </c>
    </row>
    <row r="1075" spans="1:4" x14ac:dyDescent="0.25">
      <c r="A1075" t="s">
        <v>1062</v>
      </c>
      <c r="B1075" t="s">
        <v>2269</v>
      </c>
      <c r="C1075" t="s">
        <v>234</v>
      </c>
      <c r="D1075" t="str">
        <f t="shared" si="16"/>
        <v>jpg</v>
      </c>
    </row>
    <row r="1076" spans="1:4" x14ac:dyDescent="0.25">
      <c r="A1076" t="s">
        <v>1062</v>
      </c>
      <c r="B1076" t="s">
        <v>2269</v>
      </c>
      <c r="C1076" t="s">
        <v>235</v>
      </c>
      <c r="D1076" t="str">
        <f t="shared" si="16"/>
        <v>jpg</v>
      </c>
    </row>
    <row r="1077" spans="1:4" x14ac:dyDescent="0.25">
      <c r="A1077" t="s">
        <v>1062</v>
      </c>
      <c r="B1077" t="s">
        <v>2269</v>
      </c>
      <c r="C1077" t="s">
        <v>236</v>
      </c>
      <c r="D1077" t="str">
        <f t="shared" si="16"/>
        <v>jpg</v>
      </c>
    </row>
    <row r="1078" spans="1:4" x14ac:dyDescent="0.25">
      <c r="A1078" t="s">
        <v>1062</v>
      </c>
      <c r="B1078" t="s">
        <v>2269</v>
      </c>
      <c r="C1078" t="s">
        <v>237</v>
      </c>
      <c r="D1078" t="str">
        <f t="shared" si="16"/>
        <v>jpg</v>
      </c>
    </row>
    <row r="1079" spans="1:4" x14ac:dyDescent="0.25">
      <c r="A1079" t="s">
        <v>1062</v>
      </c>
      <c r="B1079" t="s">
        <v>2269</v>
      </c>
      <c r="C1079" t="s">
        <v>238</v>
      </c>
      <c r="D1079" t="str">
        <f t="shared" si="16"/>
        <v>jpg</v>
      </c>
    </row>
    <row r="1080" spans="1:4" x14ac:dyDescent="0.25">
      <c r="A1080" t="s">
        <v>1062</v>
      </c>
      <c r="B1080" t="s">
        <v>2269</v>
      </c>
      <c r="C1080" t="s">
        <v>239</v>
      </c>
      <c r="D1080" t="str">
        <f t="shared" si="16"/>
        <v>jpg</v>
      </c>
    </row>
    <row r="1081" spans="1:4" x14ac:dyDescent="0.25">
      <c r="A1081" t="s">
        <v>1062</v>
      </c>
      <c r="B1081" t="s">
        <v>2269</v>
      </c>
      <c r="C1081" t="s">
        <v>240</v>
      </c>
      <c r="D1081" t="str">
        <f t="shared" si="16"/>
        <v>jpg</v>
      </c>
    </row>
    <row r="1082" spans="1:4" x14ac:dyDescent="0.25">
      <c r="A1082" t="s">
        <v>1062</v>
      </c>
      <c r="B1082" t="s">
        <v>2269</v>
      </c>
      <c r="C1082" t="s">
        <v>241</v>
      </c>
      <c r="D1082" t="str">
        <f t="shared" si="16"/>
        <v>jpg</v>
      </c>
    </row>
    <row r="1083" spans="1:4" x14ac:dyDescent="0.25">
      <c r="A1083" t="s">
        <v>1062</v>
      </c>
      <c r="B1083" t="s">
        <v>2269</v>
      </c>
      <c r="C1083" t="s">
        <v>242</v>
      </c>
      <c r="D1083" t="str">
        <f t="shared" si="16"/>
        <v>jpg</v>
      </c>
    </row>
    <row r="1084" spans="1:4" x14ac:dyDescent="0.25">
      <c r="A1084" t="s">
        <v>1062</v>
      </c>
      <c r="B1084" t="s">
        <v>2269</v>
      </c>
      <c r="C1084" t="s">
        <v>243</v>
      </c>
      <c r="D1084" t="str">
        <f t="shared" si="16"/>
        <v>jpg</v>
      </c>
    </row>
    <row r="1085" spans="1:4" x14ac:dyDescent="0.25">
      <c r="A1085" t="s">
        <v>1062</v>
      </c>
      <c r="B1085" t="s">
        <v>2269</v>
      </c>
      <c r="C1085" t="s">
        <v>244</v>
      </c>
      <c r="D1085" t="str">
        <f t="shared" si="16"/>
        <v>jpg</v>
      </c>
    </row>
    <row r="1086" spans="1:4" x14ac:dyDescent="0.25">
      <c r="A1086" t="s">
        <v>1062</v>
      </c>
      <c r="B1086" t="s">
        <v>2269</v>
      </c>
      <c r="C1086" t="s">
        <v>245</v>
      </c>
      <c r="D1086" t="str">
        <f t="shared" si="16"/>
        <v>jpg</v>
      </c>
    </row>
    <row r="1087" spans="1:4" x14ac:dyDescent="0.25">
      <c r="A1087" t="s">
        <v>1062</v>
      </c>
      <c r="B1087" t="s">
        <v>2269</v>
      </c>
      <c r="C1087" t="s">
        <v>246</v>
      </c>
      <c r="D1087" t="str">
        <f t="shared" si="16"/>
        <v>jpg</v>
      </c>
    </row>
    <row r="1088" spans="1:4" x14ac:dyDescent="0.25">
      <c r="A1088" t="s">
        <v>1062</v>
      </c>
      <c r="B1088" t="s">
        <v>2269</v>
      </c>
      <c r="C1088" t="s">
        <v>247</v>
      </c>
      <c r="D1088" t="str">
        <f t="shared" si="16"/>
        <v>jpg</v>
      </c>
    </row>
    <row r="1089" spans="1:4" x14ac:dyDescent="0.25">
      <c r="A1089" t="s">
        <v>1062</v>
      </c>
      <c r="B1089" t="s">
        <v>2269</v>
      </c>
      <c r="C1089" t="s">
        <v>248</v>
      </c>
      <c r="D1089" t="str">
        <f t="shared" si="16"/>
        <v>jpg</v>
      </c>
    </row>
    <row r="1090" spans="1:4" x14ac:dyDescent="0.25">
      <c r="A1090" t="s">
        <v>1062</v>
      </c>
      <c r="B1090" t="s">
        <v>2269</v>
      </c>
      <c r="C1090" t="s">
        <v>249</v>
      </c>
      <c r="D1090" t="str">
        <f t="shared" si="16"/>
        <v>jpg</v>
      </c>
    </row>
    <row r="1091" spans="1:4" x14ac:dyDescent="0.25">
      <c r="A1091" t="s">
        <v>1062</v>
      </c>
      <c r="B1091" t="s">
        <v>2269</v>
      </c>
      <c r="C1091" t="s">
        <v>250</v>
      </c>
      <c r="D1091" t="str">
        <f t="shared" ref="D1091:D1154" si="17">IF(ISNUMBER(SEARCH(".pdf",C1091)),"pdf",IF(ISNUMBER(SEARCH(".tif",C1091)),"tif",IF(ISNUMBER(SEARCH(".las",C1091)),"las",IF(ISNUMBER(SEARCH(".sdg",C1091)),"sdg",IF(ISNUMBER(SEARCH(".xlsx",C1091)),"xlsx",IF(ISNUMBER(SEARCH(".docx",C1091)),"docx",IF(ISNUMBER(SEARCH(".rhistory",C1091)),"rhistory",IF(ISNUMBER(SEARCH(".db",C1091)),"db",IF(ISNUMBER(SEARCH(".jpg",C1091)),"jpg",IF(ISNUMBER(SEARCH(".png",C1091)),"png",IF(ISNUMBER(SEARCH(".mdb",C1091)),"mdb",IF(ISNUMBER(SEARCH(".xml",C1091)),"xml",IF(ISNUMBER(SEARCH(".xls",C1091)),"xls",IF(ISNUMBER(SEARCH(".txt",C1091)),"txt",IF(ISNUMBER(SEARCH(".tsf",C1091)),"tsf",IF(ISNUMBER(SEARCH(".sch",C1091)),"sch","ZIP oder R"))))))))))))))))</f>
        <v>jpg</v>
      </c>
    </row>
    <row r="1092" spans="1:4" x14ac:dyDescent="0.25">
      <c r="A1092" t="s">
        <v>1062</v>
      </c>
      <c r="B1092" t="s">
        <v>2269</v>
      </c>
      <c r="C1092" t="s">
        <v>251</v>
      </c>
      <c r="D1092" t="str">
        <f t="shared" si="17"/>
        <v>jpg</v>
      </c>
    </row>
    <row r="1093" spans="1:4" x14ac:dyDescent="0.25">
      <c r="A1093" t="s">
        <v>1062</v>
      </c>
      <c r="B1093" t="s">
        <v>2269</v>
      </c>
      <c r="C1093" t="s">
        <v>252</v>
      </c>
      <c r="D1093" t="str">
        <f t="shared" si="17"/>
        <v>jpg</v>
      </c>
    </row>
    <row r="1094" spans="1:4" x14ac:dyDescent="0.25">
      <c r="A1094" t="s">
        <v>1062</v>
      </c>
      <c r="B1094" t="s">
        <v>2269</v>
      </c>
      <c r="C1094" t="s">
        <v>253</v>
      </c>
      <c r="D1094" t="str">
        <f t="shared" si="17"/>
        <v>jpg</v>
      </c>
    </row>
    <row r="1095" spans="1:4" x14ac:dyDescent="0.25">
      <c r="A1095" t="s">
        <v>1062</v>
      </c>
      <c r="B1095" t="s">
        <v>2269</v>
      </c>
      <c r="C1095" t="s">
        <v>254</v>
      </c>
      <c r="D1095" t="str">
        <f t="shared" si="17"/>
        <v>jpg</v>
      </c>
    </row>
    <row r="1096" spans="1:4" x14ac:dyDescent="0.25">
      <c r="A1096" t="s">
        <v>1062</v>
      </c>
      <c r="B1096" t="s">
        <v>2269</v>
      </c>
      <c r="C1096" t="s">
        <v>255</v>
      </c>
      <c r="D1096" t="str">
        <f t="shared" si="17"/>
        <v>jpg</v>
      </c>
    </row>
    <row r="1097" spans="1:4" x14ac:dyDescent="0.25">
      <c r="A1097" t="s">
        <v>1062</v>
      </c>
      <c r="B1097" t="s">
        <v>2269</v>
      </c>
      <c r="C1097" t="s">
        <v>256</v>
      </c>
      <c r="D1097" t="str">
        <f t="shared" si="17"/>
        <v>jpg</v>
      </c>
    </row>
    <row r="1098" spans="1:4" x14ac:dyDescent="0.25">
      <c r="A1098" t="s">
        <v>1062</v>
      </c>
      <c r="B1098" t="s">
        <v>2269</v>
      </c>
      <c r="C1098" t="s">
        <v>257</v>
      </c>
      <c r="D1098" t="str">
        <f t="shared" si="17"/>
        <v>jpg</v>
      </c>
    </row>
    <row r="1099" spans="1:4" x14ac:dyDescent="0.25">
      <c r="A1099" t="s">
        <v>1062</v>
      </c>
      <c r="B1099" t="s">
        <v>2269</v>
      </c>
      <c r="C1099" t="s">
        <v>258</v>
      </c>
      <c r="D1099" t="str">
        <f t="shared" si="17"/>
        <v>jpg</v>
      </c>
    </row>
    <row r="1100" spans="1:4" x14ac:dyDescent="0.25">
      <c r="A1100" t="s">
        <v>1062</v>
      </c>
      <c r="B1100" t="s">
        <v>2269</v>
      </c>
      <c r="C1100" t="s">
        <v>259</v>
      </c>
      <c r="D1100" t="str">
        <f t="shared" si="17"/>
        <v>jpg</v>
      </c>
    </row>
    <row r="1101" spans="1:4" x14ac:dyDescent="0.25">
      <c r="A1101" t="s">
        <v>1062</v>
      </c>
      <c r="B1101" t="s">
        <v>2269</v>
      </c>
      <c r="C1101" t="s">
        <v>260</v>
      </c>
      <c r="D1101" t="str">
        <f t="shared" si="17"/>
        <v>jpg</v>
      </c>
    </row>
    <row r="1102" spans="1:4" x14ac:dyDescent="0.25">
      <c r="A1102" t="s">
        <v>1062</v>
      </c>
      <c r="B1102" t="s">
        <v>2269</v>
      </c>
      <c r="C1102" t="s">
        <v>261</v>
      </c>
      <c r="D1102" t="str">
        <f t="shared" si="17"/>
        <v>jpg</v>
      </c>
    </row>
    <row r="1103" spans="1:4" x14ac:dyDescent="0.25">
      <c r="A1103" t="s">
        <v>1062</v>
      </c>
      <c r="B1103" t="s">
        <v>2269</v>
      </c>
      <c r="C1103" t="s">
        <v>262</v>
      </c>
      <c r="D1103" t="str">
        <f t="shared" si="17"/>
        <v>jpg</v>
      </c>
    </row>
    <row r="1104" spans="1:4" x14ac:dyDescent="0.25">
      <c r="A1104" t="s">
        <v>1062</v>
      </c>
      <c r="B1104" t="s">
        <v>2269</v>
      </c>
      <c r="C1104" t="s">
        <v>263</v>
      </c>
      <c r="D1104" t="str">
        <f t="shared" si="17"/>
        <v>jpg</v>
      </c>
    </row>
    <row r="1105" spans="1:4" x14ac:dyDescent="0.25">
      <c r="A1105" t="s">
        <v>1062</v>
      </c>
      <c r="B1105" t="s">
        <v>2269</v>
      </c>
      <c r="C1105" t="s">
        <v>264</v>
      </c>
      <c r="D1105" t="str">
        <f t="shared" si="17"/>
        <v>jpg</v>
      </c>
    </row>
    <row r="1106" spans="1:4" x14ac:dyDescent="0.25">
      <c r="A1106" t="s">
        <v>1062</v>
      </c>
      <c r="B1106" t="s">
        <v>2269</v>
      </c>
      <c r="C1106" t="s">
        <v>265</v>
      </c>
      <c r="D1106" t="str">
        <f t="shared" si="17"/>
        <v>jpg</v>
      </c>
    </row>
    <row r="1107" spans="1:4" x14ac:dyDescent="0.25">
      <c r="A1107" t="s">
        <v>1062</v>
      </c>
      <c r="B1107" t="s">
        <v>2269</v>
      </c>
      <c r="C1107" t="s">
        <v>266</v>
      </c>
      <c r="D1107" t="str">
        <f t="shared" si="17"/>
        <v>jpg</v>
      </c>
    </row>
    <row r="1108" spans="1:4" x14ac:dyDescent="0.25">
      <c r="A1108" t="s">
        <v>1062</v>
      </c>
      <c r="B1108" t="s">
        <v>2269</v>
      </c>
      <c r="C1108" t="s">
        <v>267</v>
      </c>
      <c r="D1108" t="str">
        <f t="shared" si="17"/>
        <v>jpg</v>
      </c>
    </row>
    <row r="1109" spans="1:4" x14ac:dyDescent="0.25">
      <c r="A1109" t="s">
        <v>1062</v>
      </c>
      <c r="B1109" t="s">
        <v>2269</v>
      </c>
      <c r="C1109" t="s">
        <v>268</v>
      </c>
      <c r="D1109" t="str">
        <f t="shared" si="17"/>
        <v>jpg</v>
      </c>
    </row>
    <row r="1110" spans="1:4" x14ac:dyDescent="0.25">
      <c r="A1110" t="s">
        <v>1062</v>
      </c>
      <c r="B1110" t="s">
        <v>2269</v>
      </c>
      <c r="C1110" t="s">
        <v>269</v>
      </c>
      <c r="D1110" t="str">
        <f t="shared" si="17"/>
        <v>jpg</v>
      </c>
    </row>
    <row r="1111" spans="1:4" x14ac:dyDescent="0.25">
      <c r="A1111" t="s">
        <v>1062</v>
      </c>
      <c r="B1111" t="s">
        <v>2269</v>
      </c>
      <c r="C1111" t="s">
        <v>270</v>
      </c>
      <c r="D1111" t="str">
        <f t="shared" si="17"/>
        <v>jpg</v>
      </c>
    </row>
    <row r="1112" spans="1:4" x14ac:dyDescent="0.25">
      <c r="A1112" t="s">
        <v>1062</v>
      </c>
      <c r="B1112" t="s">
        <v>2269</v>
      </c>
      <c r="C1112" t="s">
        <v>271</v>
      </c>
      <c r="D1112" t="str">
        <f t="shared" si="17"/>
        <v>jpg</v>
      </c>
    </row>
    <row r="1113" spans="1:4" x14ac:dyDescent="0.25">
      <c r="A1113" t="s">
        <v>1062</v>
      </c>
      <c r="B1113" t="s">
        <v>2269</v>
      </c>
      <c r="C1113" t="s">
        <v>272</v>
      </c>
      <c r="D1113" t="str">
        <f t="shared" si="17"/>
        <v>jpg</v>
      </c>
    </row>
    <row r="1114" spans="1:4" x14ac:dyDescent="0.25">
      <c r="A1114" t="s">
        <v>1062</v>
      </c>
      <c r="B1114" t="s">
        <v>2269</v>
      </c>
      <c r="C1114" t="s">
        <v>273</v>
      </c>
      <c r="D1114" t="str">
        <f t="shared" si="17"/>
        <v>jpg</v>
      </c>
    </row>
    <row r="1115" spans="1:4" x14ac:dyDescent="0.25">
      <c r="A1115" t="s">
        <v>1062</v>
      </c>
      <c r="B1115" t="s">
        <v>2269</v>
      </c>
      <c r="C1115" t="s">
        <v>274</v>
      </c>
      <c r="D1115" t="str">
        <f t="shared" si="17"/>
        <v>jpg</v>
      </c>
    </row>
    <row r="1116" spans="1:4" x14ac:dyDescent="0.25">
      <c r="A1116" t="s">
        <v>1062</v>
      </c>
      <c r="B1116" t="s">
        <v>2269</v>
      </c>
      <c r="C1116" t="s">
        <v>275</v>
      </c>
      <c r="D1116" t="str">
        <f t="shared" si="17"/>
        <v>jpg</v>
      </c>
    </row>
    <row r="1117" spans="1:4" x14ac:dyDescent="0.25">
      <c r="A1117" t="s">
        <v>1062</v>
      </c>
      <c r="B1117" t="s">
        <v>2269</v>
      </c>
      <c r="C1117" t="s">
        <v>276</v>
      </c>
      <c r="D1117" t="str">
        <f t="shared" si="17"/>
        <v>jpg</v>
      </c>
    </row>
    <row r="1118" spans="1:4" x14ac:dyDescent="0.25">
      <c r="A1118" t="s">
        <v>1062</v>
      </c>
      <c r="B1118" t="s">
        <v>2269</v>
      </c>
      <c r="C1118" t="s">
        <v>277</v>
      </c>
      <c r="D1118" t="str">
        <f t="shared" si="17"/>
        <v>jpg</v>
      </c>
    </row>
    <row r="1119" spans="1:4" x14ac:dyDescent="0.25">
      <c r="A1119" t="s">
        <v>1062</v>
      </c>
      <c r="B1119" t="s">
        <v>2269</v>
      </c>
      <c r="C1119" t="s">
        <v>278</v>
      </c>
      <c r="D1119" t="str">
        <f t="shared" si="17"/>
        <v>jpg</v>
      </c>
    </row>
    <row r="1120" spans="1:4" x14ac:dyDescent="0.25">
      <c r="A1120" t="s">
        <v>1062</v>
      </c>
      <c r="B1120" t="s">
        <v>2269</v>
      </c>
      <c r="C1120" t="s">
        <v>279</v>
      </c>
      <c r="D1120" t="str">
        <f t="shared" si="17"/>
        <v>jpg</v>
      </c>
    </row>
    <row r="1121" spans="1:4" x14ac:dyDescent="0.25">
      <c r="A1121" t="s">
        <v>1062</v>
      </c>
      <c r="B1121" t="s">
        <v>2269</v>
      </c>
      <c r="C1121" t="s">
        <v>280</v>
      </c>
      <c r="D1121" t="str">
        <f t="shared" si="17"/>
        <v>jpg</v>
      </c>
    </row>
    <row r="1122" spans="1:4" x14ac:dyDescent="0.25">
      <c r="A1122" t="s">
        <v>1062</v>
      </c>
      <c r="B1122" t="s">
        <v>2269</v>
      </c>
      <c r="C1122" t="s">
        <v>281</v>
      </c>
      <c r="D1122" t="str">
        <f t="shared" si="17"/>
        <v>jpg</v>
      </c>
    </row>
    <row r="1123" spans="1:4" x14ac:dyDescent="0.25">
      <c r="A1123" t="s">
        <v>1062</v>
      </c>
      <c r="B1123" t="s">
        <v>2269</v>
      </c>
      <c r="C1123" t="s">
        <v>282</v>
      </c>
      <c r="D1123" t="str">
        <f t="shared" si="17"/>
        <v>jpg</v>
      </c>
    </row>
    <row r="1124" spans="1:4" x14ac:dyDescent="0.25">
      <c r="A1124" t="s">
        <v>1062</v>
      </c>
      <c r="B1124" t="s">
        <v>2269</v>
      </c>
      <c r="C1124" t="s">
        <v>283</v>
      </c>
      <c r="D1124" t="str">
        <f t="shared" si="17"/>
        <v>jpg</v>
      </c>
    </row>
    <row r="1125" spans="1:4" x14ac:dyDescent="0.25">
      <c r="A1125" t="s">
        <v>1062</v>
      </c>
      <c r="B1125" t="s">
        <v>2269</v>
      </c>
      <c r="C1125" t="s">
        <v>284</v>
      </c>
      <c r="D1125" t="str">
        <f t="shared" si="17"/>
        <v>jpg</v>
      </c>
    </row>
    <row r="1126" spans="1:4" x14ac:dyDescent="0.25">
      <c r="A1126" t="s">
        <v>1062</v>
      </c>
      <c r="B1126" t="s">
        <v>2269</v>
      </c>
      <c r="C1126" t="s">
        <v>285</v>
      </c>
      <c r="D1126" t="str">
        <f t="shared" si="17"/>
        <v>jpg</v>
      </c>
    </row>
    <row r="1127" spans="1:4" x14ac:dyDescent="0.25">
      <c r="A1127" t="s">
        <v>1062</v>
      </c>
      <c r="B1127" t="s">
        <v>2269</v>
      </c>
      <c r="C1127" t="s">
        <v>286</v>
      </c>
      <c r="D1127" t="str">
        <f t="shared" si="17"/>
        <v>jpg</v>
      </c>
    </row>
    <row r="1128" spans="1:4" x14ac:dyDescent="0.25">
      <c r="A1128" t="s">
        <v>1062</v>
      </c>
      <c r="B1128" t="s">
        <v>2269</v>
      </c>
      <c r="C1128" t="s">
        <v>287</v>
      </c>
      <c r="D1128" t="str">
        <f t="shared" si="17"/>
        <v>jpg</v>
      </c>
    </row>
    <row r="1129" spans="1:4" x14ac:dyDescent="0.25">
      <c r="A1129" t="s">
        <v>1062</v>
      </c>
      <c r="B1129" t="s">
        <v>2269</v>
      </c>
      <c r="C1129" t="s">
        <v>288</v>
      </c>
      <c r="D1129" t="str">
        <f t="shared" si="17"/>
        <v>jpg</v>
      </c>
    </row>
    <row r="1130" spans="1:4" x14ac:dyDescent="0.25">
      <c r="A1130" t="s">
        <v>1062</v>
      </c>
      <c r="B1130" t="s">
        <v>2269</v>
      </c>
      <c r="C1130" t="s">
        <v>289</v>
      </c>
      <c r="D1130" t="str">
        <f t="shared" si="17"/>
        <v>jpg</v>
      </c>
    </row>
    <row r="1131" spans="1:4" x14ac:dyDescent="0.25">
      <c r="A1131" t="s">
        <v>1062</v>
      </c>
      <c r="B1131" t="s">
        <v>2269</v>
      </c>
      <c r="C1131" t="s">
        <v>290</v>
      </c>
      <c r="D1131" t="str">
        <f t="shared" si="17"/>
        <v>jpg</v>
      </c>
    </row>
    <row r="1132" spans="1:4" x14ac:dyDescent="0.25">
      <c r="A1132" t="s">
        <v>1062</v>
      </c>
      <c r="B1132" t="s">
        <v>2269</v>
      </c>
      <c r="C1132" t="s">
        <v>291</v>
      </c>
      <c r="D1132" t="str">
        <f t="shared" si="17"/>
        <v>jpg</v>
      </c>
    </row>
    <row r="1133" spans="1:4" x14ac:dyDescent="0.25">
      <c r="A1133" t="s">
        <v>1062</v>
      </c>
      <c r="B1133" t="s">
        <v>2269</v>
      </c>
      <c r="C1133" t="s">
        <v>292</v>
      </c>
      <c r="D1133" t="str">
        <f t="shared" si="17"/>
        <v>jpg</v>
      </c>
    </row>
    <row r="1134" spans="1:4" x14ac:dyDescent="0.25">
      <c r="A1134" t="s">
        <v>1062</v>
      </c>
      <c r="B1134" t="s">
        <v>2269</v>
      </c>
      <c r="C1134" t="s">
        <v>293</v>
      </c>
      <c r="D1134" t="str">
        <f t="shared" si="17"/>
        <v>jpg</v>
      </c>
    </row>
    <row r="1135" spans="1:4" x14ac:dyDescent="0.25">
      <c r="A1135" t="s">
        <v>1062</v>
      </c>
      <c r="B1135" t="s">
        <v>2269</v>
      </c>
      <c r="C1135" t="s">
        <v>294</v>
      </c>
      <c r="D1135" t="str">
        <f t="shared" si="17"/>
        <v>jpg</v>
      </c>
    </row>
    <row r="1136" spans="1:4" x14ac:dyDescent="0.25">
      <c r="A1136" t="s">
        <v>1062</v>
      </c>
      <c r="B1136" t="s">
        <v>2269</v>
      </c>
      <c r="C1136" t="s">
        <v>295</v>
      </c>
      <c r="D1136" t="str">
        <f t="shared" si="17"/>
        <v>jpg</v>
      </c>
    </row>
    <row r="1137" spans="1:4" x14ac:dyDescent="0.25">
      <c r="A1137" t="s">
        <v>1062</v>
      </c>
      <c r="B1137" t="s">
        <v>2269</v>
      </c>
      <c r="C1137" t="s">
        <v>296</v>
      </c>
      <c r="D1137" t="str">
        <f t="shared" si="17"/>
        <v>pdf</v>
      </c>
    </row>
    <row r="1138" spans="1:4" x14ac:dyDescent="0.25">
      <c r="A1138" t="s">
        <v>1062</v>
      </c>
      <c r="B1138" t="s">
        <v>2269</v>
      </c>
      <c r="C1138" t="s">
        <v>297</v>
      </c>
      <c r="D1138" t="str">
        <f t="shared" si="17"/>
        <v>pdf</v>
      </c>
    </row>
    <row r="1139" spans="1:4" x14ac:dyDescent="0.25">
      <c r="A1139" t="s">
        <v>1062</v>
      </c>
      <c r="B1139" t="s">
        <v>2269</v>
      </c>
      <c r="C1139" t="s">
        <v>299</v>
      </c>
      <c r="D1139" t="str">
        <f t="shared" si="17"/>
        <v>pdf</v>
      </c>
    </row>
    <row r="1140" spans="1:4" x14ac:dyDescent="0.25">
      <c r="A1140" t="s">
        <v>1063</v>
      </c>
      <c r="C1140" t="s">
        <v>341</v>
      </c>
      <c r="D1140" t="str">
        <f t="shared" si="17"/>
        <v>pdf</v>
      </c>
    </row>
    <row r="1141" spans="1:4" x14ac:dyDescent="0.25">
      <c r="A1141" t="s">
        <v>1063</v>
      </c>
      <c r="B1141" t="s">
        <v>2111</v>
      </c>
      <c r="C1141" t="s">
        <v>342</v>
      </c>
      <c r="D1141" t="str">
        <f t="shared" si="17"/>
        <v>las</v>
      </c>
    </row>
    <row r="1142" spans="1:4" x14ac:dyDescent="0.25">
      <c r="A1142" t="s">
        <v>1063</v>
      </c>
      <c r="B1142" t="s">
        <v>2111</v>
      </c>
      <c r="C1142" t="s">
        <v>1064</v>
      </c>
      <c r="D1142" t="str">
        <f t="shared" si="17"/>
        <v>ZIP oder R</v>
      </c>
    </row>
    <row r="1143" spans="1:4" x14ac:dyDescent="0.25">
      <c r="A1143" t="s">
        <v>1063</v>
      </c>
      <c r="B1143" t="s">
        <v>2111</v>
      </c>
      <c r="C1143" t="s">
        <v>343</v>
      </c>
      <c r="D1143" t="str">
        <f t="shared" si="17"/>
        <v>las</v>
      </c>
    </row>
    <row r="1144" spans="1:4" x14ac:dyDescent="0.25">
      <c r="A1144" t="s">
        <v>1063</v>
      </c>
      <c r="B1144" t="s">
        <v>2111</v>
      </c>
      <c r="C1144" t="s">
        <v>344</v>
      </c>
      <c r="D1144" t="str">
        <f t="shared" si="17"/>
        <v>las</v>
      </c>
    </row>
    <row r="1145" spans="1:4" x14ac:dyDescent="0.25">
      <c r="A1145" t="s">
        <v>1063</v>
      </c>
      <c r="B1145" t="s">
        <v>2111</v>
      </c>
      <c r="C1145" t="s">
        <v>345</v>
      </c>
      <c r="D1145" t="str">
        <f t="shared" si="17"/>
        <v>las</v>
      </c>
    </row>
    <row r="1146" spans="1:4" x14ac:dyDescent="0.25">
      <c r="A1146" t="s">
        <v>1063</v>
      </c>
      <c r="B1146" t="s">
        <v>2111</v>
      </c>
      <c r="C1146" t="s">
        <v>346</v>
      </c>
      <c r="D1146" t="str">
        <f t="shared" si="17"/>
        <v>las</v>
      </c>
    </row>
    <row r="1147" spans="1:4" x14ac:dyDescent="0.25">
      <c r="A1147" t="s">
        <v>1063</v>
      </c>
      <c r="B1147" t="s">
        <v>2111</v>
      </c>
      <c r="C1147" t="s">
        <v>347</v>
      </c>
      <c r="D1147" t="str">
        <f t="shared" si="17"/>
        <v>las</v>
      </c>
    </row>
    <row r="1148" spans="1:4" x14ac:dyDescent="0.25">
      <c r="A1148" t="s">
        <v>1063</v>
      </c>
      <c r="B1148" t="s">
        <v>2111</v>
      </c>
      <c r="C1148" t="s">
        <v>348</v>
      </c>
      <c r="D1148" t="str">
        <f t="shared" si="17"/>
        <v>las</v>
      </c>
    </row>
    <row r="1149" spans="1:4" x14ac:dyDescent="0.25">
      <c r="A1149" t="s">
        <v>1063</v>
      </c>
      <c r="B1149" t="s">
        <v>2111</v>
      </c>
      <c r="C1149" t="s">
        <v>349</v>
      </c>
      <c r="D1149" t="str">
        <f t="shared" si="17"/>
        <v>las</v>
      </c>
    </row>
    <row r="1150" spans="1:4" x14ac:dyDescent="0.25">
      <c r="A1150" t="s">
        <v>1063</v>
      </c>
      <c r="B1150" t="s">
        <v>2111</v>
      </c>
      <c r="C1150" t="s">
        <v>350</v>
      </c>
      <c r="D1150" t="str">
        <f t="shared" si="17"/>
        <v>las</v>
      </c>
    </row>
    <row r="1151" spans="1:4" x14ac:dyDescent="0.25">
      <c r="A1151" t="s">
        <v>1063</v>
      </c>
      <c r="B1151" t="s">
        <v>2111</v>
      </c>
      <c r="C1151" t="s">
        <v>351</v>
      </c>
      <c r="D1151" t="str">
        <f t="shared" si="17"/>
        <v>las</v>
      </c>
    </row>
    <row r="1152" spans="1:4" x14ac:dyDescent="0.25">
      <c r="A1152" t="s">
        <v>1065</v>
      </c>
      <c r="B1152" t="s">
        <v>2272</v>
      </c>
      <c r="C1152" t="s">
        <v>1066</v>
      </c>
      <c r="D1152" t="str">
        <f t="shared" si="17"/>
        <v>pdf</v>
      </c>
    </row>
    <row r="1153" spans="1:4" x14ac:dyDescent="0.25">
      <c r="A1153" t="s">
        <v>1065</v>
      </c>
      <c r="B1153" t="s">
        <v>2272</v>
      </c>
      <c r="C1153" t="s">
        <v>1067</v>
      </c>
      <c r="D1153" t="str">
        <f t="shared" si="17"/>
        <v>las</v>
      </c>
    </row>
    <row r="1154" spans="1:4" x14ac:dyDescent="0.25">
      <c r="A1154" t="s">
        <v>1065</v>
      </c>
      <c r="B1154" t="s">
        <v>2272</v>
      </c>
      <c r="C1154" t="s">
        <v>1068</v>
      </c>
      <c r="D1154" t="str">
        <f t="shared" si="17"/>
        <v>las</v>
      </c>
    </row>
    <row r="1155" spans="1:4" x14ac:dyDescent="0.25">
      <c r="A1155" t="s">
        <v>1065</v>
      </c>
      <c r="B1155" t="s">
        <v>2272</v>
      </c>
      <c r="C1155" t="s">
        <v>1069</v>
      </c>
      <c r="D1155" t="str">
        <f t="shared" ref="D1155:D1218" si="18">IF(ISNUMBER(SEARCH(".pdf",C1155)),"pdf",IF(ISNUMBER(SEARCH(".tif",C1155)),"tif",IF(ISNUMBER(SEARCH(".las",C1155)),"las",IF(ISNUMBER(SEARCH(".sdg",C1155)),"sdg",IF(ISNUMBER(SEARCH(".xlsx",C1155)),"xlsx",IF(ISNUMBER(SEARCH(".docx",C1155)),"docx",IF(ISNUMBER(SEARCH(".rhistory",C1155)),"rhistory",IF(ISNUMBER(SEARCH(".db",C1155)),"db",IF(ISNUMBER(SEARCH(".jpg",C1155)),"jpg",IF(ISNUMBER(SEARCH(".png",C1155)),"png",IF(ISNUMBER(SEARCH(".mdb",C1155)),"mdb",IF(ISNUMBER(SEARCH(".xml",C1155)),"xml",IF(ISNUMBER(SEARCH(".xls",C1155)),"xls",IF(ISNUMBER(SEARCH(".txt",C1155)),"txt",IF(ISNUMBER(SEARCH(".tsf",C1155)),"tsf",IF(ISNUMBER(SEARCH(".sch",C1155)),"sch","ZIP oder R"))))))))))))))))</f>
        <v>ZIP oder R</v>
      </c>
    </row>
    <row r="1156" spans="1:4" x14ac:dyDescent="0.25">
      <c r="A1156" t="s">
        <v>1065</v>
      </c>
      <c r="B1156" t="s">
        <v>2272</v>
      </c>
      <c r="C1156" t="s">
        <v>1070</v>
      </c>
      <c r="D1156" t="str">
        <f t="shared" si="18"/>
        <v>pdf</v>
      </c>
    </row>
    <row r="1157" spans="1:4" x14ac:dyDescent="0.25">
      <c r="A1157" t="s">
        <v>1065</v>
      </c>
      <c r="B1157" t="s">
        <v>2272</v>
      </c>
      <c r="C1157" t="s">
        <v>1071</v>
      </c>
      <c r="D1157" t="str">
        <f t="shared" si="18"/>
        <v>jpg</v>
      </c>
    </row>
    <row r="1158" spans="1:4" x14ac:dyDescent="0.25">
      <c r="A1158" t="s">
        <v>1065</v>
      </c>
      <c r="B1158" t="s">
        <v>2272</v>
      </c>
      <c r="C1158" t="s">
        <v>1072</v>
      </c>
      <c r="D1158" t="str">
        <f t="shared" si="18"/>
        <v>jpg</v>
      </c>
    </row>
    <row r="1159" spans="1:4" x14ac:dyDescent="0.25">
      <c r="A1159" t="s">
        <v>1065</v>
      </c>
      <c r="B1159" t="s">
        <v>2272</v>
      </c>
      <c r="C1159" t="s">
        <v>1073</v>
      </c>
      <c r="D1159" t="str">
        <f t="shared" si="18"/>
        <v>jpg</v>
      </c>
    </row>
    <row r="1160" spans="1:4" x14ac:dyDescent="0.25">
      <c r="A1160" t="s">
        <v>1065</v>
      </c>
      <c r="B1160" t="s">
        <v>2272</v>
      </c>
      <c r="C1160" t="s">
        <v>1074</v>
      </c>
      <c r="D1160" t="str">
        <f t="shared" si="18"/>
        <v>jpg</v>
      </c>
    </row>
    <row r="1161" spans="1:4" x14ac:dyDescent="0.25">
      <c r="A1161" t="s">
        <v>1065</v>
      </c>
      <c r="B1161" t="s">
        <v>2272</v>
      </c>
      <c r="C1161" t="s">
        <v>1075</v>
      </c>
      <c r="D1161" t="str">
        <f t="shared" si="18"/>
        <v>jpg</v>
      </c>
    </row>
    <row r="1162" spans="1:4" x14ac:dyDescent="0.25">
      <c r="A1162" t="s">
        <v>1076</v>
      </c>
      <c r="C1162" t="s">
        <v>397</v>
      </c>
      <c r="D1162" t="str">
        <f t="shared" si="18"/>
        <v>pdf</v>
      </c>
    </row>
    <row r="1163" spans="1:4" x14ac:dyDescent="0.25">
      <c r="A1163" t="s">
        <v>1076</v>
      </c>
      <c r="B1163" t="s">
        <v>2117</v>
      </c>
      <c r="C1163" t="s">
        <v>398</v>
      </c>
      <c r="D1163" t="str">
        <f t="shared" si="18"/>
        <v>las</v>
      </c>
    </row>
    <row r="1164" spans="1:4" x14ac:dyDescent="0.25">
      <c r="A1164" t="s">
        <v>1076</v>
      </c>
      <c r="B1164" t="s">
        <v>2117</v>
      </c>
      <c r="C1164" t="s">
        <v>1077</v>
      </c>
      <c r="D1164" t="str">
        <f t="shared" si="18"/>
        <v>ZIP oder R</v>
      </c>
    </row>
    <row r="1165" spans="1:4" x14ac:dyDescent="0.25">
      <c r="A1165" t="s">
        <v>1076</v>
      </c>
      <c r="B1165" t="s">
        <v>2117</v>
      </c>
      <c r="C1165" t="s">
        <v>399</v>
      </c>
      <c r="D1165" t="str">
        <f t="shared" si="18"/>
        <v>las</v>
      </c>
    </row>
    <row r="1166" spans="1:4" x14ac:dyDescent="0.25">
      <c r="A1166" t="s">
        <v>1076</v>
      </c>
      <c r="B1166" t="s">
        <v>2117</v>
      </c>
      <c r="C1166" t="s">
        <v>400</v>
      </c>
      <c r="D1166" t="str">
        <f t="shared" si="18"/>
        <v>las</v>
      </c>
    </row>
    <row r="1167" spans="1:4" x14ac:dyDescent="0.25">
      <c r="A1167" t="s">
        <v>1076</v>
      </c>
      <c r="B1167" t="s">
        <v>2117</v>
      </c>
      <c r="C1167" t="s">
        <v>401</v>
      </c>
      <c r="D1167" t="str">
        <f t="shared" si="18"/>
        <v>las</v>
      </c>
    </row>
    <row r="1168" spans="1:4" x14ac:dyDescent="0.25">
      <c r="A1168" t="s">
        <v>1076</v>
      </c>
      <c r="B1168" t="s">
        <v>2117</v>
      </c>
      <c r="C1168" t="s">
        <v>402</v>
      </c>
      <c r="D1168" t="str">
        <f t="shared" si="18"/>
        <v>las</v>
      </c>
    </row>
    <row r="1169" spans="1:4" x14ac:dyDescent="0.25">
      <c r="A1169" t="s">
        <v>1078</v>
      </c>
      <c r="B1169" t="s">
        <v>2117</v>
      </c>
      <c r="C1169" t="s">
        <v>566</v>
      </c>
      <c r="D1169" t="str">
        <f t="shared" si="18"/>
        <v>pdf</v>
      </c>
    </row>
    <row r="1170" spans="1:4" x14ac:dyDescent="0.25">
      <c r="A1170" t="s">
        <v>1078</v>
      </c>
      <c r="B1170" t="s">
        <v>2117</v>
      </c>
      <c r="C1170" t="s">
        <v>567</v>
      </c>
      <c r="D1170" t="str">
        <f t="shared" si="18"/>
        <v>xls</v>
      </c>
    </row>
    <row r="1171" spans="1:4" x14ac:dyDescent="0.25">
      <c r="A1171" t="s">
        <v>1078</v>
      </c>
      <c r="B1171" t="s">
        <v>2117</v>
      </c>
      <c r="C1171" t="s">
        <v>568</v>
      </c>
      <c r="D1171" t="str">
        <f t="shared" si="18"/>
        <v>jpg</v>
      </c>
    </row>
    <row r="1172" spans="1:4" x14ac:dyDescent="0.25">
      <c r="A1172" t="s">
        <v>1078</v>
      </c>
      <c r="B1172" t="s">
        <v>2117</v>
      </c>
      <c r="C1172" t="s">
        <v>569</v>
      </c>
      <c r="D1172" t="str">
        <f t="shared" si="18"/>
        <v>jpg</v>
      </c>
    </row>
    <row r="1173" spans="1:4" x14ac:dyDescent="0.25">
      <c r="A1173" t="s">
        <v>1078</v>
      </c>
      <c r="B1173" t="s">
        <v>2117</v>
      </c>
      <c r="C1173" t="s">
        <v>570</v>
      </c>
      <c r="D1173" t="str">
        <f t="shared" si="18"/>
        <v>jpg</v>
      </c>
    </row>
    <row r="1174" spans="1:4" x14ac:dyDescent="0.25">
      <c r="A1174" t="s">
        <v>1078</v>
      </c>
      <c r="B1174" t="s">
        <v>2117</v>
      </c>
      <c r="C1174" t="s">
        <v>571</v>
      </c>
      <c r="D1174" t="str">
        <f t="shared" si="18"/>
        <v>jpg</v>
      </c>
    </row>
    <row r="1175" spans="1:4" x14ac:dyDescent="0.25">
      <c r="A1175" t="s">
        <v>1078</v>
      </c>
      <c r="B1175" t="s">
        <v>2117</v>
      </c>
      <c r="C1175" t="s">
        <v>572</v>
      </c>
      <c r="D1175" t="str">
        <f t="shared" si="18"/>
        <v>jpg</v>
      </c>
    </row>
    <row r="1176" spans="1:4" x14ac:dyDescent="0.25">
      <c r="A1176" t="s">
        <v>1078</v>
      </c>
      <c r="B1176" t="s">
        <v>2117</v>
      </c>
      <c r="C1176" t="s">
        <v>573</v>
      </c>
      <c r="D1176" t="str">
        <f t="shared" si="18"/>
        <v>jpg</v>
      </c>
    </row>
    <row r="1177" spans="1:4" x14ac:dyDescent="0.25">
      <c r="A1177" t="s">
        <v>1078</v>
      </c>
      <c r="B1177" t="s">
        <v>2117</v>
      </c>
      <c r="C1177" t="s">
        <v>574</v>
      </c>
      <c r="D1177" t="str">
        <f t="shared" si="18"/>
        <v>jpg</v>
      </c>
    </row>
    <row r="1178" spans="1:4" x14ac:dyDescent="0.25">
      <c r="A1178" t="s">
        <v>1078</v>
      </c>
      <c r="B1178" t="s">
        <v>2117</v>
      </c>
      <c r="C1178" t="s">
        <v>575</v>
      </c>
      <c r="D1178" t="str">
        <f t="shared" si="18"/>
        <v>jpg</v>
      </c>
    </row>
    <row r="1179" spans="1:4" x14ac:dyDescent="0.25">
      <c r="A1179" t="s">
        <v>1078</v>
      </c>
      <c r="B1179" t="s">
        <v>2117</v>
      </c>
      <c r="C1179" t="s">
        <v>576</v>
      </c>
      <c r="D1179" t="str">
        <f t="shared" si="18"/>
        <v>jpg</v>
      </c>
    </row>
    <row r="1180" spans="1:4" x14ac:dyDescent="0.25">
      <c r="A1180" t="s">
        <v>1078</v>
      </c>
      <c r="B1180" t="s">
        <v>2117</v>
      </c>
      <c r="C1180" t="s">
        <v>577</v>
      </c>
      <c r="D1180" t="str">
        <f t="shared" si="18"/>
        <v>jpg</v>
      </c>
    </row>
    <row r="1181" spans="1:4" x14ac:dyDescent="0.25">
      <c r="A1181" t="s">
        <v>1078</v>
      </c>
      <c r="B1181" t="s">
        <v>2117</v>
      </c>
      <c r="C1181" t="s">
        <v>578</v>
      </c>
      <c r="D1181" t="str">
        <f t="shared" si="18"/>
        <v>jpg</v>
      </c>
    </row>
    <row r="1182" spans="1:4" x14ac:dyDescent="0.25">
      <c r="A1182" t="s">
        <v>1078</v>
      </c>
      <c r="B1182" t="s">
        <v>2117</v>
      </c>
      <c r="C1182" t="s">
        <v>579</v>
      </c>
      <c r="D1182" t="str">
        <f t="shared" si="18"/>
        <v>jpg</v>
      </c>
    </row>
    <row r="1183" spans="1:4" x14ac:dyDescent="0.25">
      <c r="A1183" t="s">
        <v>1078</v>
      </c>
      <c r="B1183" t="s">
        <v>2117</v>
      </c>
      <c r="C1183" t="s">
        <v>580</v>
      </c>
      <c r="D1183" t="str">
        <f t="shared" si="18"/>
        <v>jpg</v>
      </c>
    </row>
    <row r="1184" spans="1:4" x14ac:dyDescent="0.25">
      <c r="A1184" t="s">
        <v>1078</v>
      </c>
      <c r="B1184" t="s">
        <v>2117</v>
      </c>
      <c r="C1184" t="s">
        <v>581</v>
      </c>
      <c r="D1184" t="str">
        <f t="shared" si="18"/>
        <v>jpg</v>
      </c>
    </row>
    <row r="1185" spans="1:4" x14ac:dyDescent="0.25">
      <c r="A1185" t="s">
        <v>1078</v>
      </c>
      <c r="B1185" t="s">
        <v>2117</v>
      </c>
      <c r="C1185" t="s">
        <v>582</v>
      </c>
      <c r="D1185" t="str">
        <f t="shared" si="18"/>
        <v>jpg</v>
      </c>
    </row>
    <row r="1186" spans="1:4" x14ac:dyDescent="0.25">
      <c r="A1186" t="s">
        <v>1078</v>
      </c>
      <c r="B1186" t="s">
        <v>2117</v>
      </c>
      <c r="C1186" t="s">
        <v>583</v>
      </c>
      <c r="D1186" t="str">
        <f t="shared" si="18"/>
        <v>jpg</v>
      </c>
    </row>
    <row r="1187" spans="1:4" x14ac:dyDescent="0.25">
      <c r="A1187" t="s">
        <v>1078</v>
      </c>
      <c r="B1187" t="s">
        <v>2117</v>
      </c>
      <c r="C1187" t="s">
        <v>584</v>
      </c>
      <c r="D1187" t="str">
        <f t="shared" si="18"/>
        <v>jpg</v>
      </c>
    </row>
    <row r="1188" spans="1:4" x14ac:dyDescent="0.25">
      <c r="A1188" t="s">
        <v>1078</v>
      </c>
      <c r="B1188" t="s">
        <v>2117</v>
      </c>
      <c r="C1188" t="s">
        <v>585</v>
      </c>
      <c r="D1188" t="str">
        <f t="shared" si="18"/>
        <v>jpg</v>
      </c>
    </row>
    <row r="1189" spans="1:4" x14ac:dyDescent="0.25">
      <c r="A1189" t="s">
        <v>1078</v>
      </c>
      <c r="B1189" t="s">
        <v>2117</v>
      </c>
      <c r="C1189" t="s">
        <v>586</v>
      </c>
      <c r="D1189" t="str">
        <f t="shared" si="18"/>
        <v>jpg</v>
      </c>
    </row>
    <row r="1190" spans="1:4" x14ac:dyDescent="0.25">
      <c r="A1190" t="s">
        <v>1078</v>
      </c>
      <c r="B1190" t="s">
        <v>2117</v>
      </c>
      <c r="C1190" t="s">
        <v>587</v>
      </c>
      <c r="D1190" t="str">
        <f t="shared" si="18"/>
        <v>jpg</v>
      </c>
    </row>
    <row r="1191" spans="1:4" x14ac:dyDescent="0.25">
      <c r="A1191" t="s">
        <v>1078</v>
      </c>
      <c r="B1191" t="s">
        <v>2117</v>
      </c>
      <c r="C1191" t="s">
        <v>588</v>
      </c>
      <c r="D1191" t="str">
        <f t="shared" si="18"/>
        <v>jpg</v>
      </c>
    </row>
    <row r="1192" spans="1:4" x14ac:dyDescent="0.25">
      <c r="A1192" t="s">
        <v>1078</v>
      </c>
      <c r="B1192" t="s">
        <v>2117</v>
      </c>
      <c r="C1192" t="s">
        <v>589</v>
      </c>
      <c r="D1192" t="str">
        <f t="shared" si="18"/>
        <v>jpg</v>
      </c>
    </row>
    <row r="1193" spans="1:4" x14ac:dyDescent="0.25">
      <c r="A1193" t="s">
        <v>1078</v>
      </c>
      <c r="B1193" t="s">
        <v>2117</v>
      </c>
      <c r="C1193" t="s">
        <v>590</v>
      </c>
      <c r="D1193" t="str">
        <f t="shared" si="18"/>
        <v>jpg</v>
      </c>
    </row>
    <row r="1194" spans="1:4" x14ac:dyDescent="0.25">
      <c r="A1194" t="s">
        <v>1078</v>
      </c>
      <c r="B1194" t="s">
        <v>2117</v>
      </c>
      <c r="C1194" t="s">
        <v>591</v>
      </c>
      <c r="D1194" t="str">
        <f t="shared" si="18"/>
        <v>jpg</v>
      </c>
    </row>
    <row r="1195" spans="1:4" x14ac:dyDescent="0.25">
      <c r="A1195" t="s">
        <v>1078</v>
      </c>
      <c r="B1195" t="s">
        <v>2117</v>
      </c>
      <c r="C1195" t="s">
        <v>592</v>
      </c>
      <c r="D1195" t="str">
        <f t="shared" si="18"/>
        <v>jpg</v>
      </c>
    </row>
    <row r="1196" spans="1:4" x14ac:dyDescent="0.25">
      <c r="A1196" t="s">
        <v>1078</v>
      </c>
      <c r="B1196" t="s">
        <v>2117</v>
      </c>
      <c r="C1196" t="s">
        <v>593</v>
      </c>
      <c r="D1196" t="str">
        <f t="shared" si="18"/>
        <v>jpg</v>
      </c>
    </row>
    <row r="1197" spans="1:4" x14ac:dyDescent="0.25">
      <c r="A1197" t="s">
        <v>1078</v>
      </c>
      <c r="B1197" t="s">
        <v>2117</v>
      </c>
      <c r="C1197" t="s">
        <v>594</v>
      </c>
      <c r="D1197" t="str">
        <f t="shared" si="18"/>
        <v>jpg</v>
      </c>
    </row>
    <row r="1198" spans="1:4" x14ac:dyDescent="0.25">
      <c r="A1198" t="s">
        <v>1078</v>
      </c>
      <c r="B1198" t="s">
        <v>2117</v>
      </c>
      <c r="C1198" t="s">
        <v>595</v>
      </c>
      <c r="D1198" t="str">
        <f t="shared" si="18"/>
        <v>jpg</v>
      </c>
    </row>
    <row r="1199" spans="1:4" x14ac:dyDescent="0.25">
      <c r="A1199" t="s">
        <v>1078</v>
      </c>
      <c r="B1199" t="s">
        <v>2117</v>
      </c>
      <c r="C1199" t="s">
        <v>596</v>
      </c>
      <c r="D1199" t="str">
        <f t="shared" si="18"/>
        <v>jpg</v>
      </c>
    </row>
    <row r="1200" spans="1:4" x14ac:dyDescent="0.25">
      <c r="A1200" t="s">
        <v>1078</v>
      </c>
      <c r="B1200" t="s">
        <v>2117</v>
      </c>
      <c r="C1200" t="s">
        <v>597</v>
      </c>
      <c r="D1200" t="str">
        <f t="shared" si="18"/>
        <v>jpg</v>
      </c>
    </row>
    <row r="1201" spans="1:4" x14ac:dyDescent="0.25">
      <c r="A1201" t="s">
        <v>1078</v>
      </c>
      <c r="B1201" t="s">
        <v>2117</v>
      </c>
      <c r="C1201" t="s">
        <v>598</v>
      </c>
      <c r="D1201" t="str">
        <f t="shared" si="18"/>
        <v>jpg</v>
      </c>
    </row>
    <row r="1202" spans="1:4" x14ac:dyDescent="0.25">
      <c r="A1202" t="s">
        <v>1078</v>
      </c>
      <c r="B1202" t="s">
        <v>2117</v>
      </c>
      <c r="C1202" t="s">
        <v>599</v>
      </c>
      <c r="D1202" t="str">
        <f t="shared" si="18"/>
        <v>jpg</v>
      </c>
    </row>
    <row r="1203" spans="1:4" x14ac:dyDescent="0.25">
      <c r="A1203" t="s">
        <v>1078</v>
      </c>
      <c r="B1203" t="s">
        <v>2117</v>
      </c>
      <c r="C1203" t="s">
        <v>600</v>
      </c>
      <c r="D1203" t="str">
        <f t="shared" si="18"/>
        <v>jpg</v>
      </c>
    </row>
    <row r="1204" spans="1:4" x14ac:dyDescent="0.25">
      <c r="A1204" t="s">
        <v>1078</v>
      </c>
      <c r="B1204" t="s">
        <v>2117</v>
      </c>
      <c r="C1204" t="s">
        <v>601</v>
      </c>
      <c r="D1204" t="str">
        <f t="shared" si="18"/>
        <v>jpg</v>
      </c>
    </row>
    <row r="1205" spans="1:4" x14ac:dyDescent="0.25">
      <c r="A1205" t="s">
        <v>1078</v>
      </c>
      <c r="B1205" t="s">
        <v>2117</v>
      </c>
      <c r="C1205" t="s">
        <v>602</v>
      </c>
      <c r="D1205" t="str">
        <f t="shared" si="18"/>
        <v>jpg</v>
      </c>
    </row>
    <row r="1206" spans="1:4" x14ac:dyDescent="0.25">
      <c r="A1206" t="s">
        <v>1078</v>
      </c>
      <c r="B1206" t="s">
        <v>2117</v>
      </c>
      <c r="C1206" t="s">
        <v>603</v>
      </c>
      <c r="D1206" t="str">
        <f t="shared" si="18"/>
        <v>jpg</v>
      </c>
    </row>
    <row r="1207" spans="1:4" x14ac:dyDescent="0.25">
      <c r="A1207" t="s">
        <v>1078</v>
      </c>
      <c r="B1207" t="s">
        <v>2117</v>
      </c>
      <c r="C1207" t="s">
        <v>604</v>
      </c>
      <c r="D1207" t="str">
        <f t="shared" si="18"/>
        <v>jpg</v>
      </c>
    </row>
    <row r="1208" spans="1:4" x14ac:dyDescent="0.25">
      <c r="A1208" t="s">
        <v>1078</v>
      </c>
      <c r="B1208" t="s">
        <v>2117</v>
      </c>
      <c r="C1208" t="s">
        <v>605</v>
      </c>
      <c r="D1208" t="str">
        <f t="shared" si="18"/>
        <v>jpg</v>
      </c>
    </row>
    <row r="1209" spans="1:4" x14ac:dyDescent="0.25">
      <c r="A1209" t="s">
        <v>1078</v>
      </c>
      <c r="B1209" t="s">
        <v>2117</v>
      </c>
      <c r="C1209" t="s">
        <v>606</v>
      </c>
      <c r="D1209" t="str">
        <f t="shared" si="18"/>
        <v>jpg</v>
      </c>
    </row>
    <row r="1210" spans="1:4" x14ac:dyDescent="0.25">
      <c r="A1210" t="s">
        <v>1078</v>
      </c>
      <c r="B1210" t="s">
        <v>2117</v>
      </c>
      <c r="C1210" t="s">
        <v>607</v>
      </c>
      <c r="D1210" t="str">
        <f t="shared" si="18"/>
        <v>jpg</v>
      </c>
    </row>
    <row r="1211" spans="1:4" x14ac:dyDescent="0.25">
      <c r="A1211" t="s">
        <v>1078</v>
      </c>
      <c r="B1211" t="s">
        <v>2117</v>
      </c>
      <c r="C1211" t="s">
        <v>608</v>
      </c>
      <c r="D1211" t="str">
        <f t="shared" si="18"/>
        <v>jpg</v>
      </c>
    </row>
    <row r="1212" spans="1:4" x14ac:dyDescent="0.25">
      <c r="A1212" t="s">
        <v>1078</v>
      </c>
      <c r="B1212" t="s">
        <v>2117</v>
      </c>
      <c r="C1212" t="s">
        <v>609</v>
      </c>
      <c r="D1212" t="str">
        <f t="shared" si="18"/>
        <v>jpg</v>
      </c>
    </row>
    <row r="1213" spans="1:4" x14ac:dyDescent="0.25">
      <c r="A1213" t="s">
        <v>1078</v>
      </c>
      <c r="B1213" t="s">
        <v>2117</v>
      </c>
      <c r="C1213" t="s">
        <v>610</v>
      </c>
      <c r="D1213" t="str">
        <f t="shared" si="18"/>
        <v>jpg</v>
      </c>
    </row>
    <row r="1214" spans="1:4" x14ac:dyDescent="0.25">
      <c r="A1214" t="s">
        <v>1078</v>
      </c>
      <c r="B1214" t="s">
        <v>2117</v>
      </c>
      <c r="C1214" t="s">
        <v>611</v>
      </c>
      <c r="D1214" t="str">
        <f t="shared" si="18"/>
        <v>jpg</v>
      </c>
    </row>
    <row r="1215" spans="1:4" x14ac:dyDescent="0.25">
      <c r="A1215" t="s">
        <v>1078</v>
      </c>
      <c r="B1215" t="s">
        <v>2117</v>
      </c>
      <c r="C1215" t="s">
        <v>612</v>
      </c>
      <c r="D1215" t="str">
        <f t="shared" si="18"/>
        <v>jpg</v>
      </c>
    </row>
    <row r="1216" spans="1:4" x14ac:dyDescent="0.25">
      <c r="A1216" t="s">
        <v>1078</v>
      </c>
      <c r="B1216" t="s">
        <v>2117</v>
      </c>
      <c r="C1216" t="s">
        <v>613</v>
      </c>
      <c r="D1216" t="str">
        <f t="shared" si="18"/>
        <v>jpg</v>
      </c>
    </row>
    <row r="1217" spans="1:4" x14ac:dyDescent="0.25">
      <c r="A1217" t="s">
        <v>1078</v>
      </c>
      <c r="B1217" t="s">
        <v>2117</v>
      </c>
      <c r="C1217" t="s">
        <v>614</v>
      </c>
      <c r="D1217" t="str">
        <f t="shared" si="18"/>
        <v>jpg</v>
      </c>
    </row>
    <row r="1218" spans="1:4" x14ac:dyDescent="0.25">
      <c r="A1218" t="s">
        <v>1078</v>
      </c>
      <c r="B1218" t="s">
        <v>2117</v>
      </c>
      <c r="C1218" t="s">
        <v>615</v>
      </c>
      <c r="D1218" t="str">
        <f t="shared" si="18"/>
        <v>jpg</v>
      </c>
    </row>
    <row r="1219" spans="1:4" x14ac:dyDescent="0.25">
      <c r="A1219" t="s">
        <v>1078</v>
      </c>
      <c r="B1219" t="s">
        <v>2117</v>
      </c>
      <c r="C1219" t="s">
        <v>616</v>
      </c>
      <c r="D1219" t="str">
        <f t="shared" ref="D1219:D1282" si="19">IF(ISNUMBER(SEARCH(".pdf",C1219)),"pdf",IF(ISNUMBER(SEARCH(".tif",C1219)),"tif",IF(ISNUMBER(SEARCH(".las",C1219)),"las",IF(ISNUMBER(SEARCH(".sdg",C1219)),"sdg",IF(ISNUMBER(SEARCH(".xlsx",C1219)),"xlsx",IF(ISNUMBER(SEARCH(".docx",C1219)),"docx",IF(ISNUMBER(SEARCH(".rhistory",C1219)),"rhistory",IF(ISNUMBER(SEARCH(".db",C1219)),"db",IF(ISNUMBER(SEARCH(".jpg",C1219)),"jpg",IF(ISNUMBER(SEARCH(".png",C1219)),"png",IF(ISNUMBER(SEARCH(".mdb",C1219)),"mdb",IF(ISNUMBER(SEARCH(".xml",C1219)),"xml",IF(ISNUMBER(SEARCH(".xls",C1219)),"xls",IF(ISNUMBER(SEARCH(".txt",C1219)),"txt",IF(ISNUMBER(SEARCH(".tsf",C1219)),"tsf",IF(ISNUMBER(SEARCH(".sch",C1219)),"sch","ZIP oder R"))))))))))))))))</f>
        <v>jpg</v>
      </c>
    </row>
    <row r="1220" spans="1:4" x14ac:dyDescent="0.25">
      <c r="A1220" t="s">
        <v>1078</v>
      </c>
      <c r="B1220" t="s">
        <v>2117</v>
      </c>
      <c r="C1220" t="s">
        <v>617</v>
      </c>
      <c r="D1220" t="str">
        <f t="shared" si="19"/>
        <v>jpg</v>
      </c>
    </row>
    <row r="1221" spans="1:4" x14ac:dyDescent="0.25">
      <c r="A1221" t="s">
        <v>1078</v>
      </c>
      <c r="B1221" t="s">
        <v>2117</v>
      </c>
      <c r="C1221" t="s">
        <v>618</v>
      </c>
      <c r="D1221" t="str">
        <f t="shared" si="19"/>
        <v>jpg</v>
      </c>
    </row>
    <row r="1222" spans="1:4" x14ac:dyDescent="0.25">
      <c r="A1222" t="s">
        <v>1078</v>
      </c>
      <c r="B1222" t="s">
        <v>2117</v>
      </c>
      <c r="C1222" t="s">
        <v>619</v>
      </c>
      <c r="D1222" t="str">
        <f t="shared" si="19"/>
        <v>jpg</v>
      </c>
    </row>
    <row r="1223" spans="1:4" x14ac:dyDescent="0.25">
      <c r="A1223" t="s">
        <v>1078</v>
      </c>
      <c r="B1223" t="s">
        <v>2117</v>
      </c>
      <c r="C1223" t="s">
        <v>620</v>
      </c>
      <c r="D1223" t="str">
        <f t="shared" si="19"/>
        <v>jpg</v>
      </c>
    </row>
    <row r="1224" spans="1:4" x14ac:dyDescent="0.25">
      <c r="A1224" t="s">
        <v>1078</v>
      </c>
      <c r="B1224" t="s">
        <v>2117</v>
      </c>
      <c r="C1224" t="s">
        <v>621</v>
      </c>
      <c r="D1224" t="str">
        <f t="shared" si="19"/>
        <v>jpg</v>
      </c>
    </row>
    <row r="1225" spans="1:4" x14ac:dyDescent="0.25">
      <c r="A1225" t="s">
        <v>1078</v>
      </c>
      <c r="B1225" t="s">
        <v>2117</v>
      </c>
      <c r="C1225" t="s">
        <v>622</v>
      </c>
      <c r="D1225" t="str">
        <f t="shared" si="19"/>
        <v>jpg</v>
      </c>
    </row>
    <row r="1226" spans="1:4" x14ac:dyDescent="0.25">
      <c r="A1226" t="s">
        <v>1078</v>
      </c>
      <c r="B1226" t="s">
        <v>2117</v>
      </c>
      <c r="C1226" t="s">
        <v>623</v>
      </c>
      <c r="D1226" t="str">
        <f t="shared" si="19"/>
        <v>jpg</v>
      </c>
    </row>
    <row r="1227" spans="1:4" x14ac:dyDescent="0.25">
      <c r="A1227" t="s">
        <v>1078</v>
      </c>
      <c r="B1227" t="s">
        <v>2117</v>
      </c>
      <c r="C1227" t="s">
        <v>624</v>
      </c>
      <c r="D1227" t="str">
        <f t="shared" si="19"/>
        <v>jpg</v>
      </c>
    </row>
    <row r="1228" spans="1:4" x14ac:dyDescent="0.25">
      <c r="A1228" t="s">
        <v>1078</v>
      </c>
      <c r="B1228" t="s">
        <v>2117</v>
      </c>
      <c r="C1228" t="s">
        <v>625</v>
      </c>
      <c r="D1228" t="str">
        <f t="shared" si="19"/>
        <v>jpg</v>
      </c>
    </row>
    <row r="1229" spans="1:4" x14ac:dyDescent="0.25">
      <c r="A1229" t="s">
        <v>1078</v>
      </c>
      <c r="B1229" t="s">
        <v>2117</v>
      </c>
      <c r="C1229" t="s">
        <v>626</v>
      </c>
      <c r="D1229" t="str">
        <f t="shared" si="19"/>
        <v>jpg</v>
      </c>
    </row>
    <row r="1230" spans="1:4" x14ac:dyDescent="0.25">
      <c r="A1230" t="s">
        <v>1078</v>
      </c>
      <c r="B1230" t="s">
        <v>2117</v>
      </c>
      <c r="C1230" t="s">
        <v>627</v>
      </c>
      <c r="D1230" t="str">
        <f t="shared" si="19"/>
        <v>jpg</v>
      </c>
    </row>
    <row r="1231" spans="1:4" x14ac:dyDescent="0.25">
      <c r="A1231" t="s">
        <v>1078</v>
      </c>
      <c r="B1231" t="s">
        <v>2117</v>
      </c>
      <c r="C1231" t="s">
        <v>628</v>
      </c>
      <c r="D1231" t="str">
        <f t="shared" si="19"/>
        <v>jpg</v>
      </c>
    </row>
    <row r="1232" spans="1:4" x14ac:dyDescent="0.25">
      <c r="A1232" t="s">
        <v>1078</v>
      </c>
      <c r="B1232" t="s">
        <v>2117</v>
      </c>
      <c r="C1232" t="s">
        <v>629</v>
      </c>
      <c r="D1232" t="str">
        <f t="shared" si="19"/>
        <v>jpg</v>
      </c>
    </row>
    <row r="1233" spans="1:4" x14ac:dyDescent="0.25">
      <c r="A1233" t="s">
        <v>1078</v>
      </c>
      <c r="B1233" t="s">
        <v>2117</v>
      </c>
      <c r="C1233" t="s">
        <v>630</v>
      </c>
      <c r="D1233" t="str">
        <f t="shared" si="19"/>
        <v>jpg</v>
      </c>
    </row>
    <row r="1234" spans="1:4" x14ac:dyDescent="0.25">
      <c r="A1234" t="s">
        <v>1078</v>
      </c>
      <c r="B1234" t="s">
        <v>2117</v>
      </c>
      <c r="C1234" t="s">
        <v>631</v>
      </c>
      <c r="D1234" t="str">
        <f t="shared" si="19"/>
        <v>jpg</v>
      </c>
    </row>
    <row r="1235" spans="1:4" x14ac:dyDescent="0.25">
      <c r="A1235" t="s">
        <v>1078</v>
      </c>
      <c r="B1235" t="s">
        <v>2117</v>
      </c>
      <c r="C1235" t="s">
        <v>632</v>
      </c>
      <c r="D1235" t="str">
        <f t="shared" si="19"/>
        <v>jpg</v>
      </c>
    </row>
    <row r="1236" spans="1:4" x14ac:dyDescent="0.25">
      <c r="A1236" t="s">
        <v>1078</v>
      </c>
      <c r="B1236" t="s">
        <v>2117</v>
      </c>
      <c r="C1236" t="s">
        <v>633</v>
      </c>
      <c r="D1236" t="str">
        <f t="shared" si="19"/>
        <v>jpg</v>
      </c>
    </row>
    <row r="1237" spans="1:4" x14ac:dyDescent="0.25">
      <c r="A1237" t="s">
        <v>1078</v>
      </c>
      <c r="B1237" t="s">
        <v>2117</v>
      </c>
      <c r="C1237" t="s">
        <v>634</v>
      </c>
      <c r="D1237" t="str">
        <f t="shared" si="19"/>
        <v>jpg</v>
      </c>
    </row>
    <row r="1238" spans="1:4" x14ac:dyDescent="0.25">
      <c r="A1238" t="s">
        <v>1078</v>
      </c>
      <c r="B1238" t="s">
        <v>2117</v>
      </c>
      <c r="C1238" t="s">
        <v>635</v>
      </c>
      <c r="D1238" t="str">
        <f t="shared" si="19"/>
        <v>jpg</v>
      </c>
    </row>
    <row r="1239" spans="1:4" x14ac:dyDescent="0.25">
      <c r="A1239" t="s">
        <v>1078</v>
      </c>
      <c r="B1239" t="s">
        <v>2117</v>
      </c>
      <c r="C1239" t="s">
        <v>636</v>
      </c>
      <c r="D1239" t="str">
        <f t="shared" si="19"/>
        <v>jpg</v>
      </c>
    </row>
    <row r="1240" spans="1:4" x14ac:dyDescent="0.25">
      <c r="A1240" t="s">
        <v>1078</v>
      </c>
      <c r="B1240" t="s">
        <v>2117</v>
      </c>
      <c r="C1240" t="s">
        <v>637</v>
      </c>
      <c r="D1240" t="str">
        <f t="shared" si="19"/>
        <v>jpg</v>
      </c>
    </row>
    <row r="1241" spans="1:4" x14ac:dyDescent="0.25">
      <c r="A1241" t="s">
        <v>1078</v>
      </c>
      <c r="B1241" t="s">
        <v>2117</v>
      </c>
      <c r="C1241" t="s">
        <v>638</v>
      </c>
      <c r="D1241" t="str">
        <f t="shared" si="19"/>
        <v>jpg</v>
      </c>
    </row>
    <row r="1242" spans="1:4" x14ac:dyDescent="0.25">
      <c r="A1242" t="s">
        <v>1078</v>
      </c>
      <c r="B1242" t="s">
        <v>2117</v>
      </c>
      <c r="C1242" t="s">
        <v>639</v>
      </c>
      <c r="D1242" t="str">
        <f t="shared" si="19"/>
        <v>jpg</v>
      </c>
    </row>
    <row r="1243" spans="1:4" x14ac:dyDescent="0.25">
      <c r="A1243" t="s">
        <v>1078</v>
      </c>
      <c r="B1243" t="s">
        <v>2117</v>
      </c>
      <c r="C1243" t="s">
        <v>640</v>
      </c>
      <c r="D1243" t="str">
        <f t="shared" si="19"/>
        <v>jpg</v>
      </c>
    </row>
    <row r="1244" spans="1:4" x14ac:dyDescent="0.25">
      <c r="A1244" t="s">
        <v>1078</v>
      </c>
      <c r="B1244" t="s">
        <v>2117</v>
      </c>
      <c r="C1244" t="s">
        <v>641</v>
      </c>
      <c r="D1244" t="str">
        <f t="shared" si="19"/>
        <v>jpg</v>
      </c>
    </row>
    <row r="1245" spans="1:4" x14ac:dyDescent="0.25">
      <c r="A1245" t="s">
        <v>1078</v>
      </c>
      <c r="B1245" t="s">
        <v>2117</v>
      </c>
      <c r="C1245" t="s">
        <v>642</v>
      </c>
      <c r="D1245" t="str">
        <f t="shared" si="19"/>
        <v>jpg</v>
      </c>
    </row>
    <row r="1246" spans="1:4" x14ac:dyDescent="0.25">
      <c r="A1246" t="s">
        <v>1078</v>
      </c>
      <c r="B1246" t="s">
        <v>2117</v>
      </c>
      <c r="C1246" t="s">
        <v>643</v>
      </c>
      <c r="D1246" t="str">
        <f t="shared" si="19"/>
        <v>jpg</v>
      </c>
    </row>
    <row r="1247" spans="1:4" x14ac:dyDescent="0.25">
      <c r="A1247" t="s">
        <v>1078</v>
      </c>
      <c r="B1247" t="s">
        <v>2117</v>
      </c>
      <c r="C1247" t="s">
        <v>644</v>
      </c>
      <c r="D1247" t="str">
        <f t="shared" si="19"/>
        <v>jpg</v>
      </c>
    </row>
    <row r="1248" spans="1:4" x14ac:dyDescent="0.25">
      <c r="A1248" t="s">
        <v>1078</v>
      </c>
      <c r="B1248" t="s">
        <v>2117</v>
      </c>
      <c r="C1248" t="s">
        <v>645</v>
      </c>
      <c r="D1248" t="str">
        <f t="shared" si="19"/>
        <v>jpg</v>
      </c>
    </row>
    <row r="1249" spans="1:4" x14ac:dyDescent="0.25">
      <c r="A1249" t="s">
        <v>1078</v>
      </c>
      <c r="B1249" t="s">
        <v>2117</v>
      </c>
      <c r="C1249" t="s">
        <v>646</v>
      </c>
      <c r="D1249" t="str">
        <f t="shared" si="19"/>
        <v>jpg</v>
      </c>
    </row>
    <row r="1250" spans="1:4" x14ac:dyDescent="0.25">
      <c r="A1250" t="s">
        <v>1078</v>
      </c>
      <c r="B1250" t="s">
        <v>2117</v>
      </c>
      <c r="C1250" t="s">
        <v>647</v>
      </c>
      <c r="D1250" t="str">
        <f t="shared" si="19"/>
        <v>jpg</v>
      </c>
    </row>
    <row r="1251" spans="1:4" x14ac:dyDescent="0.25">
      <c r="A1251" t="s">
        <v>1078</v>
      </c>
      <c r="B1251" t="s">
        <v>2117</v>
      </c>
      <c r="C1251" t="s">
        <v>648</v>
      </c>
      <c r="D1251" t="str">
        <f t="shared" si="19"/>
        <v>jpg</v>
      </c>
    </row>
    <row r="1252" spans="1:4" x14ac:dyDescent="0.25">
      <c r="A1252" t="s">
        <v>1078</v>
      </c>
      <c r="B1252" t="s">
        <v>2117</v>
      </c>
      <c r="C1252" t="s">
        <v>649</v>
      </c>
      <c r="D1252" t="str">
        <f t="shared" si="19"/>
        <v>jpg</v>
      </c>
    </row>
    <row r="1253" spans="1:4" x14ac:dyDescent="0.25">
      <c r="A1253" t="s">
        <v>1078</v>
      </c>
      <c r="B1253" t="s">
        <v>2117</v>
      </c>
      <c r="C1253" t="s">
        <v>650</v>
      </c>
      <c r="D1253" t="str">
        <f t="shared" si="19"/>
        <v>jpg</v>
      </c>
    </row>
    <row r="1254" spans="1:4" x14ac:dyDescent="0.25">
      <c r="A1254" t="s">
        <v>1078</v>
      </c>
      <c r="B1254" t="s">
        <v>2117</v>
      </c>
      <c r="C1254" t="s">
        <v>651</v>
      </c>
      <c r="D1254" t="str">
        <f t="shared" si="19"/>
        <v>jpg</v>
      </c>
    </row>
    <row r="1255" spans="1:4" x14ac:dyDescent="0.25">
      <c r="A1255" t="s">
        <v>1078</v>
      </c>
      <c r="B1255" t="s">
        <v>2117</v>
      </c>
      <c r="C1255" t="s">
        <v>652</v>
      </c>
      <c r="D1255" t="str">
        <f t="shared" si="19"/>
        <v>jpg</v>
      </c>
    </row>
    <row r="1256" spans="1:4" x14ac:dyDescent="0.25">
      <c r="A1256" t="s">
        <v>1078</v>
      </c>
      <c r="B1256" t="s">
        <v>2117</v>
      </c>
      <c r="C1256" t="s">
        <v>653</v>
      </c>
      <c r="D1256" t="str">
        <f t="shared" si="19"/>
        <v>jpg</v>
      </c>
    </row>
    <row r="1257" spans="1:4" x14ac:dyDescent="0.25">
      <c r="A1257" t="s">
        <v>1078</v>
      </c>
      <c r="B1257" t="s">
        <v>2117</v>
      </c>
      <c r="C1257" t="s">
        <v>654</v>
      </c>
      <c r="D1257" t="str">
        <f t="shared" si="19"/>
        <v>jpg</v>
      </c>
    </row>
    <row r="1258" spans="1:4" x14ac:dyDescent="0.25">
      <c r="A1258" t="s">
        <v>1078</v>
      </c>
      <c r="B1258" t="s">
        <v>2117</v>
      </c>
      <c r="C1258" t="s">
        <v>655</v>
      </c>
      <c r="D1258" t="str">
        <f t="shared" si="19"/>
        <v>jpg</v>
      </c>
    </row>
    <row r="1259" spans="1:4" x14ac:dyDescent="0.25">
      <c r="A1259" t="s">
        <v>1078</v>
      </c>
      <c r="B1259" t="s">
        <v>2117</v>
      </c>
      <c r="C1259" t="s">
        <v>656</v>
      </c>
      <c r="D1259" t="str">
        <f t="shared" si="19"/>
        <v>jpg</v>
      </c>
    </row>
    <row r="1260" spans="1:4" x14ac:dyDescent="0.25">
      <c r="A1260" t="s">
        <v>1078</v>
      </c>
      <c r="B1260" t="s">
        <v>2117</v>
      </c>
      <c r="C1260" t="s">
        <v>657</v>
      </c>
      <c r="D1260" t="str">
        <f t="shared" si="19"/>
        <v>jpg</v>
      </c>
    </row>
    <row r="1261" spans="1:4" x14ac:dyDescent="0.25">
      <c r="A1261" t="s">
        <v>1078</v>
      </c>
      <c r="B1261" t="s">
        <v>2117</v>
      </c>
      <c r="C1261" t="s">
        <v>658</v>
      </c>
      <c r="D1261" t="str">
        <f t="shared" si="19"/>
        <v>jpg</v>
      </c>
    </row>
    <row r="1262" spans="1:4" x14ac:dyDescent="0.25">
      <c r="A1262" t="s">
        <v>1078</v>
      </c>
      <c r="B1262" t="s">
        <v>2117</v>
      </c>
      <c r="C1262" t="s">
        <v>659</v>
      </c>
      <c r="D1262" t="str">
        <f t="shared" si="19"/>
        <v>jpg</v>
      </c>
    </row>
    <row r="1263" spans="1:4" x14ac:dyDescent="0.25">
      <c r="A1263" t="s">
        <v>1078</v>
      </c>
      <c r="B1263" t="s">
        <v>2117</v>
      </c>
      <c r="C1263" t="s">
        <v>660</v>
      </c>
      <c r="D1263" t="str">
        <f t="shared" si="19"/>
        <v>jpg</v>
      </c>
    </row>
    <row r="1264" spans="1:4" x14ac:dyDescent="0.25">
      <c r="A1264" t="s">
        <v>1078</v>
      </c>
      <c r="B1264" t="s">
        <v>2117</v>
      </c>
      <c r="C1264" t="s">
        <v>661</v>
      </c>
      <c r="D1264" t="str">
        <f t="shared" si="19"/>
        <v>jpg</v>
      </c>
    </row>
    <row r="1265" spans="1:4" x14ac:dyDescent="0.25">
      <c r="A1265" t="s">
        <v>1078</v>
      </c>
      <c r="B1265" t="s">
        <v>2117</v>
      </c>
      <c r="C1265" t="s">
        <v>662</v>
      </c>
      <c r="D1265" t="str">
        <f t="shared" si="19"/>
        <v>jpg</v>
      </c>
    </row>
    <row r="1266" spans="1:4" x14ac:dyDescent="0.25">
      <c r="A1266" t="s">
        <v>1078</v>
      </c>
      <c r="B1266" t="s">
        <v>2117</v>
      </c>
      <c r="C1266" t="s">
        <v>663</v>
      </c>
      <c r="D1266" t="str">
        <f t="shared" si="19"/>
        <v>jpg</v>
      </c>
    </row>
    <row r="1267" spans="1:4" x14ac:dyDescent="0.25">
      <c r="A1267" t="s">
        <v>1078</v>
      </c>
      <c r="B1267" t="s">
        <v>2117</v>
      </c>
      <c r="C1267" t="s">
        <v>664</v>
      </c>
      <c r="D1267" t="str">
        <f t="shared" si="19"/>
        <v>jpg</v>
      </c>
    </row>
    <row r="1268" spans="1:4" x14ac:dyDescent="0.25">
      <c r="A1268" t="s">
        <v>1078</v>
      </c>
      <c r="B1268" t="s">
        <v>2117</v>
      </c>
      <c r="C1268" t="s">
        <v>665</v>
      </c>
      <c r="D1268" t="str">
        <f t="shared" si="19"/>
        <v>jpg</v>
      </c>
    </row>
    <row r="1269" spans="1:4" x14ac:dyDescent="0.25">
      <c r="A1269" t="s">
        <v>1078</v>
      </c>
      <c r="B1269" t="s">
        <v>2117</v>
      </c>
      <c r="C1269" t="s">
        <v>666</v>
      </c>
      <c r="D1269" t="str">
        <f t="shared" si="19"/>
        <v>jpg</v>
      </c>
    </row>
    <row r="1270" spans="1:4" x14ac:dyDescent="0.25">
      <c r="A1270" t="s">
        <v>1078</v>
      </c>
      <c r="B1270" t="s">
        <v>2117</v>
      </c>
      <c r="C1270" t="s">
        <v>667</v>
      </c>
      <c r="D1270" t="str">
        <f t="shared" si="19"/>
        <v>jpg</v>
      </c>
    </row>
    <row r="1271" spans="1:4" x14ac:dyDescent="0.25">
      <c r="A1271" t="s">
        <v>1079</v>
      </c>
      <c r="B1271" t="s">
        <v>2171</v>
      </c>
      <c r="C1271" t="s">
        <v>1080</v>
      </c>
      <c r="D1271" t="str">
        <f t="shared" si="19"/>
        <v>sdg</v>
      </c>
    </row>
    <row r="1272" spans="1:4" x14ac:dyDescent="0.25">
      <c r="A1272" t="s">
        <v>1079</v>
      </c>
      <c r="B1272" t="s">
        <v>2171</v>
      </c>
      <c r="C1272" t="s">
        <v>1081</v>
      </c>
      <c r="D1272" t="str">
        <f t="shared" si="19"/>
        <v>xlsx</v>
      </c>
    </row>
    <row r="1273" spans="1:4" x14ac:dyDescent="0.25">
      <c r="A1273" t="s">
        <v>1082</v>
      </c>
      <c r="B1273" t="s">
        <v>2171</v>
      </c>
      <c r="C1273" t="s">
        <v>1083</v>
      </c>
      <c r="D1273" t="str">
        <f t="shared" si="19"/>
        <v>docx</v>
      </c>
    </row>
    <row r="1274" spans="1:4" x14ac:dyDescent="0.25">
      <c r="A1274" t="s">
        <v>1082</v>
      </c>
      <c r="B1274" t="s">
        <v>2171</v>
      </c>
      <c r="C1274" t="s">
        <v>1084</v>
      </c>
      <c r="D1274" t="str">
        <f t="shared" si="19"/>
        <v>las</v>
      </c>
    </row>
    <row r="1275" spans="1:4" x14ac:dyDescent="0.25">
      <c r="A1275" t="s">
        <v>1082</v>
      </c>
      <c r="B1275" t="s">
        <v>2171</v>
      </c>
      <c r="C1275" t="s">
        <v>1085</v>
      </c>
      <c r="D1275" t="str">
        <f t="shared" si="19"/>
        <v>tif</v>
      </c>
    </row>
    <row r="1276" spans="1:4" x14ac:dyDescent="0.25">
      <c r="A1276" t="s">
        <v>1082</v>
      </c>
      <c r="B1276" t="s">
        <v>2171</v>
      </c>
      <c r="C1276" t="s">
        <v>32</v>
      </c>
      <c r="D1276" t="str">
        <f t="shared" si="19"/>
        <v>db</v>
      </c>
    </row>
    <row r="1277" spans="1:4" x14ac:dyDescent="0.25">
      <c r="A1277" t="s">
        <v>1086</v>
      </c>
      <c r="B1277" t="s">
        <v>2171</v>
      </c>
      <c r="C1277" t="s">
        <v>1087</v>
      </c>
      <c r="D1277" t="str">
        <f t="shared" si="19"/>
        <v>las</v>
      </c>
    </row>
    <row r="1278" spans="1:4" x14ac:dyDescent="0.25">
      <c r="A1278" t="s">
        <v>1088</v>
      </c>
      <c r="B1278" t="s">
        <v>2172</v>
      </c>
      <c r="C1278" t="s">
        <v>1089</v>
      </c>
      <c r="D1278" t="str">
        <f t="shared" si="19"/>
        <v>pdf</v>
      </c>
    </row>
    <row r="1279" spans="1:4" x14ac:dyDescent="0.25">
      <c r="A1279" t="s">
        <v>1090</v>
      </c>
      <c r="B1279" t="s">
        <v>2173</v>
      </c>
      <c r="C1279" t="s">
        <v>1091</v>
      </c>
      <c r="D1279" t="str">
        <f t="shared" si="19"/>
        <v>pdf</v>
      </c>
    </row>
    <row r="1280" spans="1:4" x14ac:dyDescent="0.25">
      <c r="A1280" t="s">
        <v>1090</v>
      </c>
      <c r="B1280" t="s">
        <v>2173</v>
      </c>
      <c r="C1280" t="s">
        <v>1092</v>
      </c>
      <c r="D1280" t="str">
        <f t="shared" si="19"/>
        <v>pdf</v>
      </c>
    </row>
    <row r="1281" spans="1:4" x14ac:dyDescent="0.25">
      <c r="A1281" t="s">
        <v>1093</v>
      </c>
      <c r="B1281" t="s">
        <v>2174</v>
      </c>
      <c r="C1281" t="s">
        <v>1094</v>
      </c>
      <c r="D1281" t="str">
        <f t="shared" si="19"/>
        <v>pdf</v>
      </c>
    </row>
    <row r="1282" spans="1:4" x14ac:dyDescent="0.25">
      <c r="A1282" t="s">
        <v>1093</v>
      </c>
      <c r="B1282" t="s">
        <v>2174</v>
      </c>
      <c r="C1282" t="s">
        <v>1095</v>
      </c>
      <c r="D1282" t="str">
        <f t="shared" si="19"/>
        <v>pdf</v>
      </c>
    </row>
    <row r="1283" spans="1:4" x14ac:dyDescent="0.25">
      <c r="A1283" t="s">
        <v>1093</v>
      </c>
      <c r="B1283" t="s">
        <v>2174</v>
      </c>
      <c r="C1283" t="s">
        <v>1096</v>
      </c>
      <c r="D1283" t="str">
        <f t="shared" ref="D1283:D1346" si="20">IF(ISNUMBER(SEARCH(".pdf",C1283)),"pdf",IF(ISNUMBER(SEARCH(".tif",C1283)),"tif",IF(ISNUMBER(SEARCH(".las",C1283)),"las",IF(ISNUMBER(SEARCH(".sdg",C1283)),"sdg",IF(ISNUMBER(SEARCH(".xlsx",C1283)),"xlsx",IF(ISNUMBER(SEARCH(".docx",C1283)),"docx",IF(ISNUMBER(SEARCH(".rhistory",C1283)),"rhistory",IF(ISNUMBER(SEARCH(".db",C1283)),"db",IF(ISNUMBER(SEARCH(".jpg",C1283)),"jpg",IF(ISNUMBER(SEARCH(".png",C1283)),"png",IF(ISNUMBER(SEARCH(".mdb",C1283)),"mdb",IF(ISNUMBER(SEARCH(".xml",C1283)),"xml",IF(ISNUMBER(SEARCH(".xls",C1283)),"xls",IF(ISNUMBER(SEARCH(".txt",C1283)),"txt",IF(ISNUMBER(SEARCH(".tsf",C1283)),"tsf",IF(ISNUMBER(SEARCH(".sch",C1283)),"sch","ZIP oder R"))))))))))))))))</f>
        <v>pdf</v>
      </c>
    </row>
    <row r="1284" spans="1:4" x14ac:dyDescent="0.25">
      <c r="A1284" t="s">
        <v>1097</v>
      </c>
      <c r="B1284" t="s">
        <v>2175</v>
      </c>
      <c r="C1284" t="s">
        <v>1098</v>
      </c>
      <c r="D1284" t="str">
        <f t="shared" si="20"/>
        <v>pdf</v>
      </c>
    </row>
    <row r="1285" spans="1:4" x14ac:dyDescent="0.25">
      <c r="A1285" t="s">
        <v>1097</v>
      </c>
      <c r="B1285" t="s">
        <v>2175</v>
      </c>
      <c r="C1285" t="s">
        <v>1099</v>
      </c>
      <c r="D1285" t="str">
        <f t="shared" si="20"/>
        <v>las</v>
      </c>
    </row>
    <row r="1286" spans="1:4" x14ac:dyDescent="0.25">
      <c r="A1286" t="s">
        <v>1097</v>
      </c>
      <c r="B1286" t="s">
        <v>2175</v>
      </c>
      <c r="C1286" t="s">
        <v>1100</v>
      </c>
      <c r="D1286" t="str">
        <f t="shared" si="20"/>
        <v>las</v>
      </c>
    </row>
    <row r="1287" spans="1:4" x14ac:dyDescent="0.25">
      <c r="A1287" t="s">
        <v>1097</v>
      </c>
      <c r="B1287" t="s">
        <v>2175</v>
      </c>
      <c r="C1287" t="s">
        <v>1101</v>
      </c>
      <c r="D1287" t="str">
        <f t="shared" si="20"/>
        <v>sdg</v>
      </c>
    </row>
    <row r="1288" spans="1:4" x14ac:dyDescent="0.25">
      <c r="A1288" t="s">
        <v>1097</v>
      </c>
      <c r="B1288" t="s">
        <v>2175</v>
      </c>
      <c r="C1288" t="s">
        <v>1102</v>
      </c>
      <c r="D1288" t="str">
        <f t="shared" si="20"/>
        <v>xlsx</v>
      </c>
    </row>
    <row r="1289" spans="1:4" x14ac:dyDescent="0.25">
      <c r="A1289" t="s">
        <v>1097</v>
      </c>
      <c r="B1289" t="s">
        <v>2175</v>
      </c>
      <c r="C1289" t="s">
        <v>1103</v>
      </c>
      <c r="D1289" t="str">
        <f t="shared" si="20"/>
        <v>pdf</v>
      </c>
    </row>
    <row r="1290" spans="1:4" x14ac:dyDescent="0.25">
      <c r="A1290" t="s">
        <v>1104</v>
      </c>
      <c r="B1290" t="s">
        <v>2176</v>
      </c>
      <c r="C1290" t="s">
        <v>1105</v>
      </c>
      <c r="D1290" t="str">
        <f t="shared" si="20"/>
        <v>pdf</v>
      </c>
    </row>
    <row r="1291" spans="1:4" x14ac:dyDescent="0.25">
      <c r="A1291" t="s">
        <v>1106</v>
      </c>
      <c r="B1291" t="s">
        <v>2177</v>
      </c>
      <c r="C1291" t="s">
        <v>1107</v>
      </c>
      <c r="D1291" t="str">
        <f t="shared" si="20"/>
        <v>pdf</v>
      </c>
    </row>
    <row r="1292" spans="1:4" x14ac:dyDescent="0.25">
      <c r="A1292" t="s">
        <v>1106</v>
      </c>
      <c r="B1292" t="s">
        <v>2177</v>
      </c>
      <c r="C1292" t="s">
        <v>1108</v>
      </c>
      <c r="D1292" t="str">
        <f t="shared" si="20"/>
        <v>pdf</v>
      </c>
    </row>
    <row r="1293" spans="1:4" x14ac:dyDescent="0.25">
      <c r="A1293" t="s">
        <v>1109</v>
      </c>
      <c r="B1293" t="s">
        <v>2178</v>
      </c>
      <c r="C1293" t="s">
        <v>1110</v>
      </c>
      <c r="D1293" t="str">
        <f t="shared" si="20"/>
        <v>las</v>
      </c>
    </row>
    <row r="1294" spans="1:4" x14ac:dyDescent="0.25">
      <c r="A1294" t="s">
        <v>1109</v>
      </c>
      <c r="B1294" t="s">
        <v>2178</v>
      </c>
      <c r="C1294" t="s">
        <v>1111</v>
      </c>
      <c r="D1294" t="str">
        <f t="shared" si="20"/>
        <v>sdg</v>
      </c>
    </row>
    <row r="1295" spans="1:4" x14ac:dyDescent="0.25">
      <c r="A1295" t="s">
        <v>1109</v>
      </c>
      <c r="B1295" t="s">
        <v>2178</v>
      </c>
      <c r="C1295" t="s">
        <v>1112</v>
      </c>
      <c r="D1295" t="str">
        <f t="shared" si="20"/>
        <v>xlsx</v>
      </c>
    </row>
    <row r="1296" spans="1:4" x14ac:dyDescent="0.25">
      <c r="A1296" t="s">
        <v>1113</v>
      </c>
      <c r="B1296" t="s">
        <v>2179</v>
      </c>
      <c r="C1296" t="s">
        <v>1114</v>
      </c>
      <c r="D1296" t="str">
        <f t="shared" si="20"/>
        <v>pdf</v>
      </c>
    </row>
    <row r="1297" spans="1:4" x14ac:dyDescent="0.25">
      <c r="A1297" t="s">
        <v>1113</v>
      </c>
      <c r="B1297" t="s">
        <v>2179</v>
      </c>
      <c r="C1297" t="s">
        <v>1115</v>
      </c>
      <c r="D1297" t="str">
        <f t="shared" si="20"/>
        <v>las</v>
      </c>
    </row>
    <row r="1298" spans="1:4" x14ac:dyDescent="0.25">
      <c r="A1298" t="s">
        <v>1113</v>
      </c>
      <c r="B1298" t="s">
        <v>2179</v>
      </c>
      <c r="C1298" t="s">
        <v>1116</v>
      </c>
      <c r="D1298" t="str">
        <f t="shared" si="20"/>
        <v>sdg</v>
      </c>
    </row>
    <row r="1299" spans="1:4" x14ac:dyDescent="0.25">
      <c r="A1299" t="s">
        <v>1113</v>
      </c>
      <c r="B1299" t="s">
        <v>2179</v>
      </c>
      <c r="C1299" t="s">
        <v>1117</v>
      </c>
      <c r="D1299" t="str">
        <f t="shared" si="20"/>
        <v>xlsx</v>
      </c>
    </row>
    <row r="1300" spans="1:4" x14ac:dyDescent="0.25">
      <c r="A1300" t="s">
        <v>1113</v>
      </c>
      <c r="B1300" t="s">
        <v>2179</v>
      </c>
      <c r="C1300" t="s">
        <v>1118</v>
      </c>
      <c r="D1300" t="str">
        <f t="shared" si="20"/>
        <v>pdf</v>
      </c>
    </row>
    <row r="1301" spans="1:4" x14ac:dyDescent="0.25">
      <c r="A1301" t="s">
        <v>1119</v>
      </c>
      <c r="B1301" t="s">
        <v>2180</v>
      </c>
      <c r="C1301" t="s">
        <v>1120</v>
      </c>
      <c r="D1301" t="str">
        <f t="shared" si="20"/>
        <v>pdf</v>
      </c>
    </row>
    <row r="1302" spans="1:4" x14ac:dyDescent="0.25">
      <c r="A1302" t="s">
        <v>1119</v>
      </c>
      <c r="B1302" t="s">
        <v>2180</v>
      </c>
      <c r="C1302" t="s">
        <v>1121</v>
      </c>
      <c r="D1302" t="str">
        <f t="shared" si="20"/>
        <v>las</v>
      </c>
    </row>
    <row r="1303" spans="1:4" x14ac:dyDescent="0.25">
      <c r="A1303" t="s">
        <v>1119</v>
      </c>
      <c r="B1303" t="s">
        <v>2180</v>
      </c>
      <c r="C1303" t="s">
        <v>1122</v>
      </c>
      <c r="D1303" t="str">
        <f t="shared" si="20"/>
        <v>sdg</v>
      </c>
    </row>
    <row r="1304" spans="1:4" x14ac:dyDescent="0.25">
      <c r="A1304" t="s">
        <v>1119</v>
      </c>
      <c r="B1304" t="s">
        <v>2180</v>
      </c>
      <c r="C1304" t="s">
        <v>1123</v>
      </c>
      <c r="D1304" t="str">
        <f t="shared" si="20"/>
        <v>xlsx</v>
      </c>
    </row>
    <row r="1305" spans="1:4" x14ac:dyDescent="0.25">
      <c r="A1305" t="s">
        <v>1119</v>
      </c>
      <c r="B1305" t="s">
        <v>2180</v>
      </c>
      <c r="C1305" t="s">
        <v>1124</v>
      </c>
      <c r="D1305" t="str">
        <f t="shared" si="20"/>
        <v>pdf</v>
      </c>
    </row>
    <row r="1306" spans="1:4" x14ac:dyDescent="0.25">
      <c r="A1306" t="s">
        <v>1125</v>
      </c>
      <c r="B1306" t="s">
        <v>2181</v>
      </c>
      <c r="C1306" t="s">
        <v>1126</v>
      </c>
      <c r="D1306" t="str">
        <f t="shared" si="20"/>
        <v>pdf</v>
      </c>
    </row>
    <row r="1307" spans="1:4" x14ac:dyDescent="0.25">
      <c r="A1307" t="s">
        <v>1125</v>
      </c>
      <c r="B1307" t="s">
        <v>2181</v>
      </c>
      <c r="C1307" t="s">
        <v>1127</v>
      </c>
      <c r="D1307" t="str">
        <f t="shared" si="20"/>
        <v>pdf</v>
      </c>
    </row>
    <row r="1308" spans="1:4" x14ac:dyDescent="0.25">
      <c r="A1308" t="s">
        <v>1128</v>
      </c>
      <c r="B1308" t="s">
        <v>2182</v>
      </c>
      <c r="C1308" t="s">
        <v>1129</v>
      </c>
      <c r="D1308" t="str">
        <f t="shared" si="20"/>
        <v>pdf</v>
      </c>
    </row>
    <row r="1309" spans="1:4" x14ac:dyDescent="0.25">
      <c r="A1309" t="s">
        <v>1128</v>
      </c>
      <c r="B1309" t="s">
        <v>2182</v>
      </c>
      <c r="C1309" t="s">
        <v>1130</v>
      </c>
      <c r="D1309" t="str">
        <f t="shared" si="20"/>
        <v>pdf</v>
      </c>
    </row>
    <row r="1310" spans="1:4" x14ac:dyDescent="0.25">
      <c r="A1310" t="s">
        <v>1128</v>
      </c>
      <c r="B1310" t="s">
        <v>2182</v>
      </c>
      <c r="C1310" t="s">
        <v>1131</v>
      </c>
      <c r="D1310" t="str">
        <f t="shared" si="20"/>
        <v>pdf</v>
      </c>
    </row>
    <row r="1311" spans="1:4" x14ac:dyDescent="0.25">
      <c r="A1311" t="s">
        <v>1132</v>
      </c>
      <c r="B1311" t="s">
        <v>2183</v>
      </c>
      <c r="C1311" t="s">
        <v>1133</v>
      </c>
      <c r="D1311" t="str">
        <f t="shared" si="20"/>
        <v>pdf</v>
      </c>
    </row>
    <row r="1312" spans="1:4" x14ac:dyDescent="0.25">
      <c r="A1312" t="s">
        <v>1134</v>
      </c>
      <c r="B1312" t="s">
        <v>2184</v>
      </c>
      <c r="C1312" t="s">
        <v>1135</v>
      </c>
      <c r="D1312" t="str">
        <f t="shared" si="20"/>
        <v>pdf</v>
      </c>
    </row>
    <row r="1313" spans="1:4" x14ac:dyDescent="0.25">
      <c r="A1313" t="s">
        <v>1136</v>
      </c>
      <c r="B1313" t="s">
        <v>2185</v>
      </c>
      <c r="C1313" t="s">
        <v>1137</v>
      </c>
      <c r="D1313" t="str">
        <f t="shared" si="20"/>
        <v>pdf</v>
      </c>
    </row>
    <row r="1314" spans="1:4" x14ac:dyDescent="0.25">
      <c r="A1314" t="s">
        <v>1138</v>
      </c>
      <c r="B1314" t="s">
        <v>2186</v>
      </c>
      <c r="C1314" t="s">
        <v>1139</v>
      </c>
      <c r="D1314" t="str">
        <f t="shared" si="20"/>
        <v>pdf</v>
      </c>
    </row>
    <row r="1315" spans="1:4" x14ac:dyDescent="0.25">
      <c r="A1315" t="s">
        <v>1138</v>
      </c>
      <c r="B1315" t="s">
        <v>2186</v>
      </c>
      <c r="C1315" t="s">
        <v>1140</v>
      </c>
      <c r="D1315" t="str">
        <f t="shared" si="20"/>
        <v>pdf</v>
      </c>
    </row>
    <row r="1316" spans="1:4" x14ac:dyDescent="0.25">
      <c r="A1316" t="s">
        <v>1138</v>
      </c>
      <c r="B1316" t="s">
        <v>2186</v>
      </c>
      <c r="C1316" t="s">
        <v>1141</v>
      </c>
      <c r="D1316" t="str">
        <f t="shared" si="20"/>
        <v>pdf</v>
      </c>
    </row>
    <row r="1317" spans="1:4" x14ac:dyDescent="0.25">
      <c r="A1317" t="s">
        <v>1142</v>
      </c>
      <c r="B1317" t="s">
        <v>2187</v>
      </c>
      <c r="C1317" t="s">
        <v>1143</v>
      </c>
      <c r="D1317" t="str">
        <f t="shared" si="20"/>
        <v>pdf</v>
      </c>
    </row>
    <row r="1318" spans="1:4" x14ac:dyDescent="0.25">
      <c r="A1318" t="s">
        <v>1142</v>
      </c>
      <c r="B1318" t="s">
        <v>2187</v>
      </c>
      <c r="C1318" t="s">
        <v>1144</v>
      </c>
      <c r="D1318" t="str">
        <f t="shared" si="20"/>
        <v>pdf</v>
      </c>
    </row>
    <row r="1319" spans="1:4" x14ac:dyDescent="0.25">
      <c r="A1319" t="s">
        <v>1142</v>
      </c>
      <c r="B1319" t="s">
        <v>2187</v>
      </c>
      <c r="C1319" t="s">
        <v>1145</v>
      </c>
      <c r="D1319" t="str">
        <f t="shared" si="20"/>
        <v>pdf</v>
      </c>
    </row>
    <row r="1320" spans="1:4" x14ac:dyDescent="0.25">
      <c r="A1320" t="s">
        <v>1146</v>
      </c>
      <c r="B1320" t="s">
        <v>2188</v>
      </c>
      <c r="C1320" t="s">
        <v>1147</v>
      </c>
      <c r="D1320" t="str">
        <f t="shared" si="20"/>
        <v>pdf</v>
      </c>
    </row>
    <row r="1321" spans="1:4" x14ac:dyDescent="0.25">
      <c r="A1321" t="s">
        <v>1146</v>
      </c>
      <c r="B1321" t="s">
        <v>2188</v>
      </c>
      <c r="C1321" t="s">
        <v>1148</v>
      </c>
      <c r="D1321" t="str">
        <f t="shared" si="20"/>
        <v>pdf</v>
      </c>
    </row>
    <row r="1322" spans="1:4" x14ac:dyDescent="0.25">
      <c r="A1322" t="s">
        <v>1146</v>
      </c>
      <c r="B1322" t="s">
        <v>2188</v>
      </c>
      <c r="C1322" t="s">
        <v>1149</v>
      </c>
      <c r="D1322" t="str">
        <f t="shared" si="20"/>
        <v>pdf</v>
      </c>
    </row>
    <row r="1323" spans="1:4" x14ac:dyDescent="0.25">
      <c r="A1323" t="s">
        <v>1150</v>
      </c>
      <c r="B1323" t="s">
        <v>2189</v>
      </c>
      <c r="C1323" t="s">
        <v>1151</v>
      </c>
      <c r="D1323" t="str">
        <f t="shared" si="20"/>
        <v>sdg</v>
      </c>
    </row>
    <row r="1324" spans="1:4" x14ac:dyDescent="0.25">
      <c r="A1324" t="s">
        <v>1150</v>
      </c>
      <c r="B1324" t="s">
        <v>2189</v>
      </c>
      <c r="C1324" t="s">
        <v>1152</v>
      </c>
      <c r="D1324" t="str">
        <f t="shared" si="20"/>
        <v>xlsx</v>
      </c>
    </row>
    <row r="1325" spans="1:4" x14ac:dyDescent="0.25">
      <c r="A1325" t="s">
        <v>1153</v>
      </c>
      <c r="B1325" t="s">
        <v>2189</v>
      </c>
      <c r="C1325" t="s">
        <v>1154</v>
      </c>
      <c r="D1325" t="str">
        <f t="shared" si="20"/>
        <v>docx</v>
      </c>
    </row>
    <row r="1326" spans="1:4" x14ac:dyDescent="0.25">
      <c r="A1326" t="s">
        <v>1153</v>
      </c>
      <c r="B1326" t="s">
        <v>2189</v>
      </c>
      <c r="C1326" t="s">
        <v>1155</v>
      </c>
      <c r="D1326" t="str">
        <f t="shared" si="20"/>
        <v>las</v>
      </c>
    </row>
    <row r="1327" spans="1:4" x14ac:dyDescent="0.25">
      <c r="A1327" t="s">
        <v>1153</v>
      </c>
      <c r="B1327" t="s">
        <v>2189</v>
      </c>
      <c r="C1327" t="s">
        <v>1156</v>
      </c>
      <c r="D1327" t="str">
        <f t="shared" si="20"/>
        <v>tif</v>
      </c>
    </row>
    <row r="1328" spans="1:4" x14ac:dyDescent="0.25">
      <c r="A1328" t="s">
        <v>1153</v>
      </c>
      <c r="B1328" t="s">
        <v>2189</v>
      </c>
      <c r="C1328" t="s">
        <v>32</v>
      </c>
      <c r="D1328" t="str">
        <f t="shared" si="20"/>
        <v>db</v>
      </c>
    </row>
    <row r="1329" spans="1:4" x14ac:dyDescent="0.25">
      <c r="A1329" t="s">
        <v>1157</v>
      </c>
      <c r="B1329" t="s">
        <v>2189</v>
      </c>
      <c r="C1329" t="s">
        <v>1158</v>
      </c>
      <c r="D1329" t="str">
        <f t="shared" si="20"/>
        <v>las</v>
      </c>
    </row>
    <row r="1330" spans="1:4" x14ac:dyDescent="0.25">
      <c r="A1330" t="s">
        <v>1159</v>
      </c>
      <c r="B1330" t="s">
        <v>2190</v>
      </c>
      <c r="C1330" t="s">
        <v>1160</v>
      </c>
      <c r="D1330" t="str">
        <f t="shared" si="20"/>
        <v>pdf</v>
      </c>
    </row>
    <row r="1331" spans="1:4" x14ac:dyDescent="0.25">
      <c r="A1331" t="s">
        <v>1159</v>
      </c>
      <c r="B1331" t="s">
        <v>2190</v>
      </c>
      <c r="C1331" t="s">
        <v>1161</v>
      </c>
      <c r="D1331" t="str">
        <f t="shared" si="20"/>
        <v>pdf</v>
      </c>
    </row>
    <row r="1332" spans="1:4" x14ac:dyDescent="0.25">
      <c r="A1332" t="s">
        <v>1159</v>
      </c>
      <c r="B1332" t="s">
        <v>2190</v>
      </c>
      <c r="C1332" t="s">
        <v>1162</v>
      </c>
      <c r="D1332" t="str">
        <f t="shared" si="20"/>
        <v>pdf</v>
      </c>
    </row>
    <row r="1333" spans="1:4" x14ac:dyDescent="0.25">
      <c r="A1333" t="s">
        <v>1163</v>
      </c>
      <c r="B1333" t="s">
        <v>2191</v>
      </c>
      <c r="C1333" t="s">
        <v>1164</v>
      </c>
      <c r="D1333" t="str">
        <f t="shared" si="20"/>
        <v>pdf</v>
      </c>
    </row>
    <row r="1334" spans="1:4" x14ac:dyDescent="0.25">
      <c r="A1334" t="s">
        <v>1163</v>
      </c>
      <c r="B1334" t="s">
        <v>2191</v>
      </c>
      <c r="C1334" t="s">
        <v>1165</v>
      </c>
      <c r="D1334" t="str">
        <f t="shared" si="20"/>
        <v>pdf</v>
      </c>
    </row>
    <row r="1335" spans="1:4" x14ac:dyDescent="0.25">
      <c r="A1335" t="s">
        <v>1163</v>
      </c>
      <c r="B1335" t="s">
        <v>2191</v>
      </c>
      <c r="C1335" t="s">
        <v>1166</v>
      </c>
      <c r="D1335" t="str">
        <f t="shared" si="20"/>
        <v>pdf</v>
      </c>
    </row>
    <row r="1336" spans="1:4" x14ac:dyDescent="0.25">
      <c r="A1336" t="s">
        <v>1167</v>
      </c>
      <c r="B1336" t="s">
        <v>2192</v>
      </c>
      <c r="C1336" t="s">
        <v>1168</v>
      </c>
      <c r="D1336" t="str">
        <f t="shared" si="20"/>
        <v>pdf</v>
      </c>
    </row>
    <row r="1337" spans="1:4" x14ac:dyDescent="0.25">
      <c r="A1337" t="s">
        <v>1167</v>
      </c>
      <c r="B1337" t="s">
        <v>2192</v>
      </c>
      <c r="C1337" t="s">
        <v>1169</v>
      </c>
      <c r="D1337" t="str">
        <f t="shared" si="20"/>
        <v>pdf</v>
      </c>
    </row>
    <row r="1338" spans="1:4" x14ac:dyDescent="0.25">
      <c r="A1338" t="s">
        <v>1167</v>
      </c>
      <c r="B1338" t="s">
        <v>2192</v>
      </c>
      <c r="C1338" t="s">
        <v>1170</v>
      </c>
      <c r="D1338" t="str">
        <f t="shared" si="20"/>
        <v>pdf</v>
      </c>
    </row>
    <row r="1339" spans="1:4" x14ac:dyDescent="0.25">
      <c r="A1339" t="s">
        <v>1171</v>
      </c>
      <c r="B1339" t="s">
        <v>2193</v>
      </c>
      <c r="C1339" t="s">
        <v>1172</v>
      </c>
      <c r="D1339" t="str">
        <f t="shared" si="20"/>
        <v>pdf</v>
      </c>
    </row>
    <row r="1340" spans="1:4" x14ac:dyDescent="0.25">
      <c r="A1340" t="s">
        <v>1171</v>
      </c>
      <c r="B1340" t="s">
        <v>2193</v>
      </c>
      <c r="C1340" t="s">
        <v>1173</v>
      </c>
      <c r="D1340" t="str">
        <f t="shared" si="20"/>
        <v>pdf</v>
      </c>
    </row>
    <row r="1341" spans="1:4" x14ac:dyDescent="0.25">
      <c r="A1341" t="s">
        <v>1171</v>
      </c>
      <c r="B1341" t="s">
        <v>2193</v>
      </c>
      <c r="C1341" t="s">
        <v>1174</v>
      </c>
      <c r="D1341" t="str">
        <f t="shared" si="20"/>
        <v>pdf</v>
      </c>
    </row>
    <row r="1342" spans="1:4" x14ac:dyDescent="0.25">
      <c r="A1342" t="s">
        <v>1175</v>
      </c>
      <c r="B1342" t="s">
        <v>2194</v>
      </c>
      <c r="C1342" t="s">
        <v>1176</v>
      </c>
      <c r="D1342" t="str">
        <f t="shared" si="20"/>
        <v>pdf</v>
      </c>
    </row>
    <row r="1343" spans="1:4" x14ac:dyDescent="0.25">
      <c r="A1343" t="s">
        <v>1175</v>
      </c>
      <c r="B1343" t="s">
        <v>2194</v>
      </c>
      <c r="C1343" t="s">
        <v>1177</v>
      </c>
      <c r="D1343" t="str">
        <f t="shared" si="20"/>
        <v>pdf</v>
      </c>
    </row>
    <row r="1344" spans="1:4" x14ac:dyDescent="0.25">
      <c r="A1344" t="s">
        <v>1175</v>
      </c>
      <c r="B1344" t="s">
        <v>2194</v>
      </c>
      <c r="C1344" t="s">
        <v>1178</v>
      </c>
      <c r="D1344" t="str">
        <f t="shared" si="20"/>
        <v>pdf</v>
      </c>
    </row>
    <row r="1345" spans="1:4" x14ac:dyDescent="0.25">
      <c r="A1345" t="s">
        <v>1179</v>
      </c>
      <c r="B1345" t="s">
        <v>2195</v>
      </c>
      <c r="C1345" t="s">
        <v>1180</v>
      </c>
      <c r="D1345" t="str">
        <f t="shared" si="20"/>
        <v>pdf</v>
      </c>
    </row>
    <row r="1346" spans="1:4" x14ac:dyDescent="0.25">
      <c r="A1346" t="s">
        <v>1179</v>
      </c>
      <c r="B1346" t="s">
        <v>2195</v>
      </c>
      <c r="C1346" t="s">
        <v>1181</v>
      </c>
      <c r="D1346" t="str">
        <f t="shared" si="20"/>
        <v>pdf</v>
      </c>
    </row>
    <row r="1347" spans="1:4" x14ac:dyDescent="0.25">
      <c r="A1347" t="s">
        <v>1179</v>
      </c>
      <c r="B1347" t="s">
        <v>2195</v>
      </c>
      <c r="C1347" t="s">
        <v>1182</v>
      </c>
      <c r="D1347" t="str">
        <f t="shared" ref="D1347:D1410" si="21">IF(ISNUMBER(SEARCH(".pdf",C1347)),"pdf",IF(ISNUMBER(SEARCH(".tif",C1347)),"tif",IF(ISNUMBER(SEARCH(".las",C1347)),"las",IF(ISNUMBER(SEARCH(".sdg",C1347)),"sdg",IF(ISNUMBER(SEARCH(".xlsx",C1347)),"xlsx",IF(ISNUMBER(SEARCH(".docx",C1347)),"docx",IF(ISNUMBER(SEARCH(".rhistory",C1347)),"rhistory",IF(ISNUMBER(SEARCH(".db",C1347)),"db",IF(ISNUMBER(SEARCH(".jpg",C1347)),"jpg",IF(ISNUMBER(SEARCH(".png",C1347)),"png",IF(ISNUMBER(SEARCH(".mdb",C1347)),"mdb",IF(ISNUMBER(SEARCH(".xml",C1347)),"xml",IF(ISNUMBER(SEARCH(".xls",C1347)),"xls",IF(ISNUMBER(SEARCH(".txt",C1347)),"txt",IF(ISNUMBER(SEARCH(".tsf",C1347)),"tsf",IF(ISNUMBER(SEARCH(".sch",C1347)),"sch","ZIP oder R"))))))))))))))))</f>
        <v>pdf</v>
      </c>
    </row>
    <row r="1348" spans="1:4" x14ac:dyDescent="0.25">
      <c r="A1348" t="s">
        <v>1183</v>
      </c>
      <c r="B1348" t="s">
        <v>2196</v>
      </c>
      <c r="C1348" t="s">
        <v>1184</v>
      </c>
      <c r="D1348" t="str">
        <f t="shared" si="21"/>
        <v>pdf</v>
      </c>
    </row>
    <row r="1349" spans="1:4" x14ac:dyDescent="0.25">
      <c r="A1349" t="s">
        <v>1183</v>
      </c>
      <c r="B1349" t="s">
        <v>2196</v>
      </c>
      <c r="C1349" t="s">
        <v>1185</v>
      </c>
      <c r="D1349" t="str">
        <f t="shared" si="21"/>
        <v>pdf</v>
      </c>
    </row>
    <row r="1350" spans="1:4" x14ac:dyDescent="0.25">
      <c r="A1350" t="s">
        <v>1183</v>
      </c>
      <c r="B1350" t="s">
        <v>2196</v>
      </c>
      <c r="C1350" t="s">
        <v>1186</v>
      </c>
      <c r="D1350" t="str">
        <f t="shared" si="21"/>
        <v>pdf</v>
      </c>
    </row>
    <row r="1351" spans="1:4" x14ac:dyDescent="0.25">
      <c r="A1351" t="s">
        <v>1187</v>
      </c>
      <c r="B1351" t="s">
        <v>2197</v>
      </c>
      <c r="C1351" t="s">
        <v>1188</v>
      </c>
      <c r="D1351" t="str">
        <f t="shared" si="21"/>
        <v>pdf</v>
      </c>
    </row>
    <row r="1352" spans="1:4" x14ac:dyDescent="0.25">
      <c r="A1352" t="s">
        <v>1187</v>
      </c>
      <c r="B1352" t="s">
        <v>2197</v>
      </c>
      <c r="C1352" t="s">
        <v>1189</v>
      </c>
      <c r="D1352" t="str">
        <f t="shared" si="21"/>
        <v>pdf</v>
      </c>
    </row>
    <row r="1353" spans="1:4" x14ac:dyDescent="0.25">
      <c r="A1353" t="s">
        <v>1187</v>
      </c>
      <c r="B1353" t="s">
        <v>2197</v>
      </c>
      <c r="C1353" t="s">
        <v>1190</v>
      </c>
      <c r="D1353" t="str">
        <f t="shared" si="21"/>
        <v>pdf</v>
      </c>
    </row>
    <row r="1354" spans="1:4" x14ac:dyDescent="0.25">
      <c r="A1354" t="s">
        <v>1187</v>
      </c>
      <c r="B1354" t="s">
        <v>2197</v>
      </c>
      <c r="C1354" t="s">
        <v>1191</v>
      </c>
      <c r="D1354" t="str">
        <f t="shared" si="21"/>
        <v>pdf</v>
      </c>
    </row>
    <row r="1355" spans="1:4" x14ac:dyDescent="0.25">
      <c r="A1355" t="s">
        <v>1192</v>
      </c>
      <c r="B1355" t="s">
        <v>2198</v>
      </c>
      <c r="C1355" t="s">
        <v>1193</v>
      </c>
      <c r="D1355" t="str">
        <f t="shared" si="21"/>
        <v>pdf</v>
      </c>
    </row>
    <row r="1356" spans="1:4" x14ac:dyDescent="0.25">
      <c r="A1356" t="s">
        <v>1192</v>
      </c>
      <c r="B1356" t="s">
        <v>2198</v>
      </c>
      <c r="C1356" t="s">
        <v>1194</v>
      </c>
      <c r="D1356" t="str">
        <f t="shared" si="21"/>
        <v>pdf</v>
      </c>
    </row>
    <row r="1357" spans="1:4" x14ac:dyDescent="0.25">
      <c r="A1357" t="s">
        <v>1192</v>
      </c>
      <c r="B1357" t="s">
        <v>2198</v>
      </c>
      <c r="C1357" t="s">
        <v>1195</v>
      </c>
      <c r="D1357" t="str">
        <f t="shared" si="21"/>
        <v>pdf</v>
      </c>
    </row>
    <row r="1358" spans="1:4" x14ac:dyDescent="0.25">
      <c r="A1358" t="s">
        <v>1192</v>
      </c>
      <c r="B1358" t="s">
        <v>2198</v>
      </c>
      <c r="C1358" t="s">
        <v>1196</v>
      </c>
      <c r="D1358" t="str">
        <f t="shared" si="21"/>
        <v>pdf</v>
      </c>
    </row>
    <row r="1359" spans="1:4" x14ac:dyDescent="0.25">
      <c r="A1359" t="s">
        <v>1197</v>
      </c>
      <c r="B1359" t="s">
        <v>2199</v>
      </c>
      <c r="C1359" t="s">
        <v>1198</v>
      </c>
      <c r="D1359" t="str">
        <f t="shared" si="21"/>
        <v>pdf</v>
      </c>
    </row>
    <row r="1360" spans="1:4" x14ac:dyDescent="0.25">
      <c r="A1360" t="s">
        <v>1197</v>
      </c>
      <c r="B1360" t="s">
        <v>2199</v>
      </c>
      <c r="C1360" t="s">
        <v>1199</v>
      </c>
      <c r="D1360" t="str">
        <f t="shared" si="21"/>
        <v>pdf</v>
      </c>
    </row>
    <row r="1361" spans="1:4" x14ac:dyDescent="0.25">
      <c r="A1361" t="s">
        <v>1200</v>
      </c>
      <c r="B1361" t="s">
        <v>2200</v>
      </c>
      <c r="C1361" t="s">
        <v>1201</v>
      </c>
      <c r="D1361" t="str">
        <f t="shared" si="21"/>
        <v>pdf</v>
      </c>
    </row>
    <row r="1362" spans="1:4" x14ac:dyDescent="0.25">
      <c r="A1362" t="s">
        <v>1200</v>
      </c>
      <c r="B1362" t="s">
        <v>2200</v>
      </c>
      <c r="C1362" t="s">
        <v>1202</v>
      </c>
      <c r="D1362" t="str">
        <f t="shared" si="21"/>
        <v>pdf</v>
      </c>
    </row>
    <row r="1363" spans="1:4" x14ac:dyDescent="0.25">
      <c r="A1363" t="s">
        <v>1200</v>
      </c>
      <c r="B1363" t="s">
        <v>2200</v>
      </c>
      <c r="C1363" t="s">
        <v>1203</v>
      </c>
      <c r="D1363" t="str">
        <f t="shared" si="21"/>
        <v>pdf</v>
      </c>
    </row>
    <row r="1364" spans="1:4" x14ac:dyDescent="0.25">
      <c r="A1364" t="s">
        <v>1200</v>
      </c>
      <c r="B1364" t="s">
        <v>2200</v>
      </c>
      <c r="C1364" t="s">
        <v>1204</v>
      </c>
      <c r="D1364" t="str">
        <f t="shared" si="21"/>
        <v>pdf</v>
      </c>
    </row>
    <row r="1365" spans="1:4" x14ac:dyDescent="0.25">
      <c r="A1365" t="s">
        <v>1200</v>
      </c>
      <c r="B1365" t="s">
        <v>2200</v>
      </c>
      <c r="C1365" t="s">
        <v>1205</v>
      </c>
      <c r="D1365" t="str">
        <f t="shared" si="21"/>
        <v>pdf</v>
      </c>
    </row>
    <row r="1366" spans="1:4" x14ac:dyDescent="0.25">
      <c r="A1366" t="s">
        <v>1200</v>
      </c>
      <c r="B1366" t="s">
        <v>2200</v>
      </c>
      <c r="C1366" t="s">
        <v>1206</v>
      </c>
      <c r="D1366" t="str">
        <f t="shared" si="21"/>
        <v>pdf</v>
      </c>
    </row>
    <row r="1367" spans="1:4" x14ac:dyDescent="0.25">
      <c r="A1367" t="s">
        <v>1200</v>
      </c>
      <c r="B1367" t="s">
        <v>2200</v>
      </c>
      <c r="C1367" t="s">
        <v>1207</v>
      </c>
      <c r="D1367" t="str">
        <f t="shared" si="21"/>
        <v>pdf</v>
      </c>
    </row>
    <row r="1368" spans="1:4" x14ac:dyDescent="0.25">
      <c r="A1368" t="s">
        <v>1208</v>
      </c>
      <c r="B1368" t="s">
        <v>2201</v>
      </c>
      <c r="C1368" t="s">
        <v>1209</v>
      </c>
      <c r="D1368" t="str">
        <f t="shared" si="21"/>
        <v>pdf</v>
      </c>
    </row>
    <row r="1369" spans="1:4" x14ac:dyDescent="0.25">
      <c r="A1369" t="s">
        <v>1208</v>
      </c>
      <c r="B1369" t="s">
        <v>2201</v>
      </c>
      <c r="C1369" t="s">
        <v>1210</v>
      </c>
      <c r="D1369" t="str">
        <f t="shared" si="21"/>
        <v>pdf</v>
      </c>
    </row>
    <row r="1370" spans="1:4" x14ac:dyDescent="0.25">
      <c r="A1370" t="s">
        <v>1208</v>
      </c>
      <c r="B1370" t="s">
        <v>2201</v>
      </c>
      <c r="C1370" t="s">
        <v>1211</v>
      </c>
      <c r="D1370" t="str">
        <f t="shared" si="21"/>
        <v>pdf</v>
      </c>
    </row>
    <row r="1371" spans="1:4" x14ac:dyDescent="0.25">
      <c r="A1371" t="s">
        <v>1208</v>
      </c>
      <c r="B1371" t="s">
        <v>2201</v>
      </c>
      <c r="C1371" t="s">
        <v>1212</v>
      </c>
      <c r="D1371" t="str">
        <f t="shared" si="21"/>
        <v>pdf</v>
      </c>
    </row>
    <row r="1372" spans="1:4" x14ac:dyDescent="0.25">
      <c r="A1372" t="s">
        <v>1208</v>
      </c>
      <c r="B1372" t="s">
        <v>2201</v>
      </c>
      <c r="C1372" t="s">
        <v>1213</v>
      </c>
      <c r="D1372" t="str">
        <f t="shared" si="21"/>
        <v>pdf</v>
      </c>
    </row>
    <row r="1373" spans="1:4" x14ac:dyDescent="0.25">
      <c r="A1373" t="s">
        <v>1214</v>
      </c>
      <c r="B1373" t="s">
        <v>2202</v>
      </c>
      <c r="C1373" t="s">
        <v>1215</v>
      </c>
      <c r="D1373" t="str">
        <f t="shared" si="21"/>
        <v>pdf</v>
      </c>
    </row>
    <row r="1374" spans="1:4" x14ac:dyDescent="0.25">
      <c r="A1374" t="s">
        <v>1214</v>
      </c>
      <c r="B1374" t="s">
        <v>2202</v>
      </c>
      <c r="C1374" t="s">
        <v>1216</v>
      </c>
      <c r="D1374" t="str">
        <f t="shared" si="21"/>
        <v>las</v>
      </c>
    </row>
    <row r="1375" spans="1:4" x14ac:dyDescent="0.25">
      <c r="A1375" t="s">
        <v>1214</v>
      </c>
      <c r="B1375" t="s">
        <v>2202</v>
      </c>
      <c r="C1375" t="s">
        <v>1217</v>
      </c>
      <c r="D1375" t="str">
        <f t="shared" si="21"/>
        <v>las</v>
      </c>
    </row>
    <row r="1376" spans="1:4" x14ac:dyDescent="0.25">
      <c r="A1376" t="s">
        <v>1214</v>
      </c>
      <c r="B1376" t="s">
        <v>2202</v>
      </c>
      <c r="C1376" t="s">
        <v>1218</v>
      </c>
      <c r="D1376" t="str">
        <f t="shared" si="21"/>
        <v>sdg</v>
      </c>
    </row>
    <row r="1377" spans="1:4" x14ac:dyDescent="0.25">
      <c r="A1377" t="s">
        <v>1214</v>
      </c>
      <c r="B1377" t="s">
        <v>2202</v>
      </c>
      <c r="C1377" t="s">
        <v>1219</v>
      </c>
      <c r="D1377" t="str">
        <f t="shared" si="21"/>
        <v>xlsx</v>
      </c>
    </row>
    <row r="1378" spans="1:4" x14ac:dyDescent="0.25">
      <c r="A1378" t="s">
        <v>1220</v>
      </c>
      <c r="B1378" t="s">
        <v>2203</v>
      </c>
      <c r="C1378" t="s">
        <v>1221</v>
      </c>
      <c r="D1378" t="str">
        <f t="shared" si="21"/>
        <v>pdf</v>
      </c>
    </row>
    <row r="1379" spans="1:4" x14ac:dyDescent="0.25">
      <c r="A1379" t="s">
        <v>1220</v>
      </c>
      <c r="B1379" t="s">
        <v>2203</v>
      </c>
      <c r="C1379" t="s">
        <v>1222</v>
      </c>
      <c r="D1379" t="str">
        <f t="shared" si="21"/>
        <v>pdf</v>
      </c>
    </row>
    <row r="1380" spans="1:4" x14ac:dyDescent="0.25">
      <c r="A1380" t="s">
        <v>1220</v>
      </c>
      <c r="B1380" t="s">
        <v>2203</v>
      </c>
      <c r="C1380" t="s">
        <v>1223</v>
      </c>
      <c r="D1380" t="str">
        <f t="shared" si="21"/>
        <v>pdf</v>
      </c>
    </row>
    <row r="1381" spans="1:4" x14ac:dyDescent="0.25">
      <c r="A1381" t="s">
        <v>1220</v>
      </c>
      <c r="B1381" t="s">
        <v>2203</v>
      </c>
      <c r="C1381" t="s">
        <v>1224</v>
      </c>
      <c r="D1381" t="str">
        <f t="shared" si="21"/>
        <v>pdf</v>
      </c>
    </row>
    <row r="1382" spans="1:4" x14ac:dyDescent="0.25">
      <c r="A1382" t="s">
        <v>1220</v>
      </c>
      <c r="B1382" t="s">
        <v>2203</v>
      </c>
      <c r="C1382" t="s">
        <v>1225</v>
      </c>
      <c r="D1382" t="str">
        <f t="shared" si="21"/>
        <v>pdf</v>
      </c>
    </row>
    <row r="1383" spans="1:4" x14ac:dyDescent="0.25">
      <c r="A1383" t="s">
        <v>1220</v>
      </c>
      <c r="B1383" t="s">
        <v>2203</v>
      </c>
      <c r="C1383" t="s">
        <v>1226</v>
      </c>
      <c r="D1383" t="str">
        <f t="shared" si="21"/>
        <v>pdf</v>
      </c>
    </row>
    <row r="1384" spans="1:4" x14ac:dyDescent="0.25">
      <c r="A1384" t="s">
        <v>1220</v>
      </c>
      <c r="B1384" t="s">
        <v>2203</v>
      </c>
      <c r="C1384" t="s">
        <v>1227</v>
      </c>
      <c r="D1384" t="str">
        <f t="shared" si="21"/>
        <v>pdf</v>
      </c>
    </row>
    <row r="1385" spans="1:4" x14ac:dyDescent="0.25">
      <c r="A1385" t="s">
        <v>1220</v>
      </c>
      <c r="B1385" t="s">
        <v>2203</v>
      </c>
      <c r="C1385" t="s">
        <v>1228</v>
      </c>
      <c r="D1385" t="str">
        <f t="shared" si="21"/>
        <v>pdf</v>
      </c>
    </row>
    <row r="1386" spans="1:4" x14ac:dyDescent="0.25">
      <c r="A1386" t="s">
        <v>1220</v>
      </c>
      <c r="B1386" t="s">
        <v>2203</v>
      </c>
      <c r="C1386" t="s">
        <v>1229</v>
      </c>
      <c r="D1386" t="str">
        <f t="shared" si="21"/>
        <v>pdf</v>
      </c>
    </row>
    <row r="1387" spans="1:4" x14ac:dyDescent="0.25">
      <c r="A1387" t="s">
        <v>1220</v>
      </c>
      <c r="B1387" t="s">
        <v>2203</v>
      </c>
      <c r="C1387" t="s">
        <v>1230</v>
      </c>
      <c r="D1387" t="str">
        <f t="shared" si="21"/>
        <v>pdf</v>
      </c>
    </row>
    <row r="1388" spans="1:4" x14ac:dyDescent="0.25">
      <c r="A1388" t="s">
        <v>1220</v>
      </c>
      <c r="B1388" t="s">
        <v>2203</v>
      </c>
      <c r="C1388" t="s">
        <v>1231</v>
      </c>
      <c r="D1388" t="str">
        <f t="shared" si="21"/>
        <v>pdf</v>
      </c>
    </row>
    <row r="1389" spans="1:4" x14ac:dyDescent="0.25">
      <c r="A1389" t="s">
        <v>1220</v>
      </c>
      <c r="B1389" t="s">
        <v>2203</v>
      </c>
      <c r="C1389" t="s">
        <v>1232</v>
      </c>
      <c r="D1389" t="str">
        <f t="shared" si="21"/>
        <v>pdf</v>
      </c>
    </row>
    <row r="1390" spans="1:4" x14ac:dyDescent="0.25">
      <c r="A1390" t="s">
        <v>1220</v>
      </c>
      <c r="B1390" t="s">
        <v>2203</v>
      </c>
      <c r="C1390" t="s">
        <v>1233</v>
      </c>
      <c r="D1390" t="str">
        <f t="shared" si="21"/>
        <v>pdf</v>
      </c>
    </row>
    <row r="1391" spans="1:4" x14ac:dyDescent="0.25">
      <c r="A1391" t="s">
        <v>1220</v>
      </c>
      <c r="B1391" t="s">
        <v>2203</v>
      </c>
      <c r="C1391" t="s">
        <v>1234</v>
      </c>
      <c r="D1391" t="str">
        <f t="shared" si="21"/>
        <v>pdf</v>
      </c>
    </row>
    <row r="1392" spans="1:4" x14ac:dyDescent="0.25">
      <c r="A1392" t="s">
        <v>1220</v>
      </c>
      <c r="B1392" t="s">
        <v>2203</v>
      </c>
      <c r="C1392" t="s">
        <v>1235</v>
      </c>
      <c r="D1392" t="str">
        <f t="shared" si="21"/>
        <v>pdf</v>
      </c>
    </row>
    <row r="1393" spans="1:4" x14ac:dyDescent="0.25">
      <c r="A1393" t="s">
        <v>1220</v>
      </c>
      <c r="B1393" t="s">
        <v>2203</v>
      </c>
      <c r="C1393" t="s">
        <v>1236</v>
      </c>
      <c r="D1393" t="str">
        <f t="shared" si="21"/>
        <v>pdf</v>
      </c>
    </row>
    <row r="1394" spans="1:4" x14ac:dyDescent="0.25">
      <c r="A1394" t="s">
        <v>1220</v>
      </c>
      <c r="B1394" t="s">
        <v>2203</v>
      </c>
      <c r="C1394" t="s">
        <v>1237</v>
      </c>
      <c r="D1394" t="str">
        <f t="shared" si="21"/>
        <v>pdf</v>
      </c>
    </row>
    <row r="1395" spans="1:4" x14ac:dyDescent="0.25">
      <c r="A1395" t="s">
        <v>1220</v>
      </c>
      <c r="B1395" t="s">
        <v>2203</v>
      </c>
      <c r="C1395" t="s">
        <v>1238</v>
      </c>
      <c r="D1395" t="str">
        <f t="shared" si="21"/>
        <v>pdf</v>
      </c>
    </row>
    <row r="1396" spans="1:4" x14ac:dyDescent="0.25">
      <c r="A1396" t="s">
        <v>1220</v>
      </c>
      <c r="B1396" t="s">
        <v>2203</v>
      </c>
      <c r="C1396" t="s">
        <v>1239</v>
      </c>
      <c r="D1396" t="str">
        <f t="shared" si="21"/>
        <v>pdf</v>
      </c>
    </row>
    <row r="1397" spans="1:4" x14ac:dyDescent="0.25">
      <c r="A1397" t="s">
        <v>1220</v>
      </c>
      <c r="B1397" t="s">
        <v>2203</v>
      </c>
      <c r="C1397" t="s">
        <v>1240</v>
      </c>
      <c r="D1397" t="str">
        <f t="shared" si="21"/>
        <v>pdf</v>
      </c>
    </row>
    <row r="1398" spans="1:4" x14ac:dyDescent="0.25">
      <c r="A1398" t="s">
        <v>1220</v>
      </c>
      <c r="B1398" t="s">
        <v>2203</v>
      </c>
      <c r="C1398" t="s">
        <v>1241</v>
      </c>
      <c r="D1398" t="str">
        <f t="shared" si="21"/>
        <v>pdf</v>
      </c>
    </row>
    <row r="1399" spans="1:4" x14ac:dyDescent="0.25">
      <c r="A1399" t="s">
        <v>1220</v>
      </c>
      <c r="B1399" t="s">
        <v>2203</v>
      </c>
      <c r="C1399" t="s">
        <v>1242</v>
      </c>
      <c r="D1399" t="str">
        <f t="shared" si="21"/>
        <v>pdf</v>
      </c>
    </row>
    <row r="1400" spans="1:4" x14ac:dyDescent="0.25">
      <c r="A1400" t="s">
        <v>1220</v>
      </c>
      <c r="B1400" t="s">
        <v>2203</v>
      </c>
      <c r="C1400" t="s">
        <v>1243</v>
      </c>
      <c r="D1400" t="str">
        <f t="shared" si="21"/>
        <v>pdf</v>
      </c>
    </row>
    <row r="1401" spans="1:4" x14ac:dyDescent="0.25">
      <c r="A1401" t="s">
        <v>1220</v>
      </c>
      <c r="B1401" t="s">
        <v>2203</v>
      </c>
      <c r="C1401" t="s">
        <v>1244</v>
      </c>
      <c r="D1401" t="str">
        <f t="shared" si="21"/>
        <v>pdf</v>
      </c>
    </row>
    <row r="1402" spans="1:4" x14ac:dyDescent="0.25">
      <c r="A1402" t="s">
        <v>1220</v>
      </c>
      <c r="B1402" t="s">
        <v>2203</v>
      </c>
      <c r="C1402" t="s">
        <v>1245</v>
      </c>
      <c r="D1402" t="str">
        <f t="shared" si="21"/>
        <v>pdf</v>
      </c>
    </row>
    <row r="1403" spans="1:4" x14ac:dyDescent="0.25">
      <c r="A1403" t="s">
        <v>1220</v>
      </c>
      <c r="B1403" t="s">
        <v>2203</v>
      </c>
      <c r="C1403" t="s">
        <v>1246</v>
      </c>
      <c r="D1403" t="str">
        <f t="shared" si="21"/>
        <v>pdf</v>
      </c>
    </row>
    <row r="1404" spans="1:4" x14ac:dyDescent="0.25">
      <c r="A1404" t="s">
        <v>1220</v>
      </c>
      <c r="B1404" t="s">
        <v>2203</v>
      </c>
      <c r="C1404" t="s">
        <v>1247</v>
      </c>
      <c r="D1404" t="str">
        <f t="shared" si="21"/>
        <v>pdf</v>
      </c>
    </row>
    <row r="1405" spans="1:4" x14ac:dyDescent="0.25">
      <c r="A1405" t="s">
        <v>1220</v>
      </c>
      <c r="B1405" t="s">
        <v>2203</v>
      </c>
      <c r="C1405" t="s">
        <v>1248</v>
      </c>
      <c r="D1405" t="str">
        <f t="shared" si="21"/>
        <v>pdf</v>
      </c>
    </row>
    <row r="1406" spans="1:4" x14ac:dyDescent="0.25">
      <c r="A1406" t="s">
        <v>1220</v>
      </c>
      <c r="B1406" t="s">
        <v>2203</v>
      </c>
      <c r="C1406" t="s">
        <v>1249</v>
      </c>
      <c r="D1406" t="str">
        <f t="shared" si="21"/>
        <v>pdf</v>
      </c>
    </row>
    <row r="1407" spans="1:4" x14ac:dyDescent="0.25">
      <c r="A1407" t="s">
        <v>1220</v>
      </c>
      <c r="B1407" t="s">
        <v>2203</v>
      </c>
      <c r="C1407" t="s">
        <v>1250</v>
      </c>
      <c r="D1407" t="str">
        <f t="shared" si="21"/>
        <v>pdf</v>
      </c>
    </row>
    <row r="1408" spans="1:4" x14ac:dyDescent="0.25">
      <c r="A1408" t="s">
        <v>1220</v>
      </c>
      <c r="B1408" t="s">
        <v>2203</v>
      </c>
      <c r="C1408" t="s">
        <v>1251</v>
      </c>
      <c r="D1408" t="str">
        <f t="shared" si="21"/>
        <v>pdf</v>
      </c>
    </row>
    <row r="1409" spans="1:4" x14ac:dyDescent="0.25">
      <c r="A1409" t="s">
        <v>1220</v>
      </c>
      <c r="B1409" t="s">
        <v>2203</v>
      </c>
      <c r="C1409" t="s">
        <v>1252</v>
      </c>
      <c r="D1409" t="str">
        <f t="shared" si="21"/>
        <v>pdf</v>
      </c>
    </row>
    <row r="1410" spans="1:4" x14ac:dyDescent="0.25">
      <c r="A1410" t="s">
        <v>1220</v>
      </c>
      <c r="B1410" t="s">
        <v>2203</v>
      </c>
      <c r="C1410" t="s">
        <v>1253</v>
      </c>
      <c r="D1410" t="str">
        <f t="shared" si="21"/>
        <v>pdf</v>
      </c>
    </row>
    <row r="1411" spans="1:4" x14ac:dyDescent="0.25">
      <c r="A1411" t="s">
        <v>1220</v>
      </c>
      <c r="B1411" t="s">
        <v>2203</v>
      </c>
      <c r="C1411" t="s">
        <v>1254</v>
      </c>
      <c r="D1411" t="str">
        <f t="shared" ref="D1411:D1474" si="22">IF(ISNUMBER(SEARCH(".pdf",C1411)),"pdf",IF(ISNUMBER(SEARCH(".tif",C1411)),"tif",IF(ISNUMBER(SEARCH(".las",C1411)),"las",IF(ISNUMBER(SEARCH(".sdg",C1411)),"sdg",IF(ISNUMBER(SEARCH(".xlsx",C1411)),"xlsx",IF(ISNUMBER(SEARCH(".docx",C1411)),"docx",IF(ISNUMBER(SEARCH(".rhistory",C1411)),"rhistory",IF(ISNUMBER(SEARCH(".db",C1411)),"db",IF(ISNUMBER(SEARCH(".jpg",C1411)),"jpg",IF(ISNUMBER(SEARCH(".png",C1411)),"png",IF(ISNUMBER(SEARCH(".mdb",C1411)),"mdb",IF(ISNUMBER(SEARCH(".xml",C1411)),"xml",IF(ISNUMBER(SEARCH(".xls",C1411)),"xls",IF(ISNUMBER(SEARCH(".txt",C1411)),"txt",IF(ISNUMBER(SEARCH(".tsf",C1411)),"tsf",IF(ISNUMBER(SEARCH(".sch",C1411)),"sch","ZIP oder R"))))))))))))))))</f>
        <v>pdf</v>
      </c>
    </row>
    <row r="1412" spans="1:4" x14ac:dyDescent="0.25">
      <c r="A1412" t="s">
        <v>1220</v>
      </c>
      <c r="B1412" t="s">
        <v>2203</v>
      </c>
      <c r="C1412" t="s">
        <v>1255</v>
      </c>
      <c r="D1412" t="str">
        <f t="shared" si="22"/>
        <v>pdf</v>
      </c>
    </row>
    <row r="1413" spans="1:4" x14ac:dyDescent="0.25">
      <c r="A1413" t="s">
        <v>1220</v>
      </c>
      <c r="B1413" t="s">
        <v>2203</v>
      </c>
      <c r="C1413" t="s">
        <v>1256</v>
      </c>
      <c r="D1413" t="str">
        <f t="shared" si="22"/>
        <v>pdf</v>
      </c>
    </row>
    <row r="1414" spans="1:4" x14ac:dyDescent="0.25">
      <c r="A1414" t="s">
        <v>1220</v>
      </c>
      <c r="B1414" t="s">
        <v>2203</v>
      </c>
      <c r="C1414" t="s">
        <v>1257</v>
      </c>
      <c r="D1414" t="str">
        <f t="shared" si="22"/>
        <v>pdf</v>
      </c>
    </row>
    <row r="1415" spans="1:4" x14ac:dyDescent="0.25">
      <c r="A1415" t="s">
        <v>1220</v>
      </c>
      <c r="B1415" t="s">
        <v>2203</v>
      </c>
      <c r="C1415" t="s">
        <v>1258</v>
      </c>
      <c r="D1415" t="str">
        <f t="shared" si="22"/>
        <v>pdf</v>
      </c>
    </row>
    <row r="1416" spans="1:4" x14ac:dyDescent="0.25">
      <c r="A1416" t="s">
        <v>1259</v>
      </c>
      <c r="B1416" t="s">
        <v>2204</v>
      </c>
      <c r="C1416" t="s">
        <v>1260</v>
      </c>
      <c r="D1416" t="str">
        <f t="shared" si="22"/>
        <v>pdf</v>
      </c>
    </row>
    <row r="1417" spans="1:4" x14ac:dyDescent="0.25">
      <c r="A1417" t="s">
        <v>1261</v>
      </c>
      <c r="B1417" t="s">
        <v>2205</v>
      </c>
      <c r="C1417" t="s">
        <v>1262</v>
      </c>
      <c r="D1417" t="str">
        <f t="shared" si="22"/>
        <v>pdf</v>
      </c>
    </row>
    <row r="1418" spans="1:4" x14ac:dyDescent="0.25">
      <c r="A1418" t="s">
        <v>1261</v>
      </c>
      <c r="B1418" t="s">
        <v>2205</v>
      </c>
      <c r="C1418" t="s">
        <v>1263</v>
      </c>
      <c r="D1418" t="str">
        <f t="shared" si="22"/>
        <v>pdf</v>
      </c>
    </row>
    <row r="1419" spans="1:4" x14ac:dyDescent="0.25">
      <c r="A1419" t="s">
        <v>1264</v>
      </c>
      <c r="B1419" t="s">
        <v>2206</v>
      </c>
      <c r="C1419" t="s">
        <v>1265</v>
      </c>
      <c r="D1419" t="str">
        <f t="shared" si="22"/>
        <v>pdf</v>
      </c>
    </row>
    <row r="1420" spans="1:4" x14ac:dyDescent="0.25">
      <c r="A1420" t="s">
        <v>1264</v>
      </c>
      <c r="B1420" t="s">
        <v>2206</v>
      </c>
      <c r="C1420" t="s">
        <v>1266</v>
      </c>
      <c r="D1420" t="str">
        <f t="shared" si="22"/>
        <v>pdf</v>
      </c>
    </row>
    <row r="1421" spans="1:4" x14ac:dyDescent="0.25">
      <c r="A1421" t="s">
        <v>1264</v>
      </c>
      <c r="B1421" t="s">
        <v>2206</v>
      </c>
      <c r="C1421" t="s">
        <v>1267</v>
      </c>
      <c r="D1421" t="str">
        <f t="shared" si="22"/>
        <v>pdf</v>
      </c>
    </row>
    <row r="1422" spans="1:4" x14ac:dyDescent="0.25">
      <c r="A1422" t="s">
        <v>1264</v>
      </c>
      <c r="B1422" t="s">
        <v>2206</v>
      </c>
      <c r="C1422" t="s">
        <v>1268</v>
      </c>
      <c r="D1422" t="str">
        <f t="shared" si="22"/>
        <v>pdf</v>
      </c>
    </row>
    <row r="1423" spans="1:4" x14ac:dyDescent="0.25">
      <c r="A1423" t="s">
        <v>1269</v>
      </c>
      <c r="B1423" t="s">
        <v>2207</v>
      </c>
      <c r="C1423" t="s">
        <v>1270</v>
      </c>
      <c r="D1423" t="str">
        <f t="shared" si="22"/>
        <v>pdf</v>
      </c>
    </row>
    <row r="1424" spans="1:4" x14ac:dyDescent="0.25">
      <c r="A1424" t="s">
        <v>1269</v>
      </c>
      <c r="B1424" t="s">
        <v>2207</v>
      </c>
      <c r="C1424" t="s">
        <v>1271</v>
      </c>
      <c r="D1424" t="str">
        <f t="shared" si="22"/>
        <v>pdf</v>
      </c>
    </row>
    <row r="1425" spans="1:4" x14ac:dyDescent="0.25">
      <c r="A1425" t="s">
        <v>1269</v>
      </c>
      <c r="B1425" t="s">
        <v>2207</v>
      </c>
      <c r="C1425" t="s">
        <v>1272</v>
      </c>
      <c r="D1425" t="str">
        <f t="shared" si="22"/>
        <v>pdf</v>
      </c>
    </row>
    <row r="1426" spans="1:4" x14ac:dyDescent="0.25">
      <c r="A1426" t="s">
        <v>1273</v>
      </c>
      <c r="B1426" t="s">
        <v>2208</v>
      </c>
      <c r="C1426" t="s">
        <v>1274</v>
      </c>
      <c r="D1426" t="str">
        <f t="shared" si="22"/>
        <v>pdf</v>
      </c>
    </row>
    <row r="1427" spans="1:4" x14ac:dyDescent="0.25">
      <c r="A1427" t="s">
        <v>1273</v>
      </c>
      <c r="B1427" t="s">
        <v>2208</v>
      </c>
      <c r="C1427" t="s">
        <v>1275</v>
      </c>
      <c r="D1427" t="str">
        <f t="shared" si="22"/>
        <v>pdf</v>
      </c>
    </row>
    <row r="1428" spans="1:4" x14ac:dyDescent="0.25">
      <c r="A1428" t="s">
        <v>1273</v>
      </c>
      <c r="B1428" t="s">
        <v>2208</v>
      </c>
      <c r="C1428" t="s">
        <v>1276</v>
      </c>
      <c r="D1428" t="str">
        <f t="shared" si="22"/>
        <v>pdf</v>
      </c>
    </row>
    <row r="1429" spans="1:4" x14ac:dyDescent="0.25">
      <c r="A1429" t="s">
        <v>1277</v>
      </c>
      <c r="B1429" t="s">
        <v>2209</v>
      </c>
      <c r="C1429" t="s">
        <v>1278</v>
      </c>
      <c r="D1429" t="str">
        <f t="shared" si="22"/>
        <v>pdf</v>
      </c>
    </row>
    <row r="1430" spans="1:4" x14ac:dyDescent="0.25">
      <c r="A1430" t="s">
        <v>1279</v>
      </c>
      <c r="B1430" t="s">
        <v>2210</v>
      </c>
      <c r="C1430" t="s">
        <v>1280</v>
      </c>
      <c r="D1430" t="str">
        <f t="shared" si="22"/>
        <v>pdf</v>
      </c>
    </row>
    <row r="1431" spans="1:4" x14ac:dyDescent="0.25">
      <c r="A1431" t="s">
        <v>1279</v>
      </c>
      <c r="B1431" t="s">
        <v>2210</v>
      </c>
      <c r="C1431" t="s">
        <v>1281</v>
      </c>
      <c r="D1431" t="str">
        <f t="shared" si="22"/>
        <v>pdf</v>
      </c>
    </row>
    <row r="1432" spans="1:4" x14ac:dyDescent="0.25">
      <c r="A1432" t="s">
        <v>1279</v>
      </c>
      <c r="B1432" t="s">
        <v>2210</v>
      </c>
      <c r="C1432" t="s">
        <v>1282</v>
      </c>
      <c r="D1432" t="str">
        <f t="shared" si="22"/>
        <v>pdf</v>
      </c>
    </row>
    <row r="1433" spans="1:4" x14ac:dyDescent="0.25">
      <c r="A1433" t="s">
        <v>1279</v>
      </c>
      <c r="B1433" t="s">
        <v>2210</v>
      </c>
      <c r="C1433" t="s">
        <v>1283</v>
      </c>
      <c r="D1433" t="str">
        <f t="shared" si="22"/>
        <v>pdf</v>
      </c>
    </row>
    <row r="1434" spans="1:4" x14ac:dyDescent="0.25">
      <c r="A1434" t="s">
        <v>1284</v>
      </c>
      <c r="B1434" t="s">
        <v>2210</v>
      </c>
      <c r="C1434" t="s">
        <v>1285</v>
      </c>
      <c r="D1434" t="str">
        <f t="shared" si="22"/>
        <v>xlsx</v>
      </c>
    </row>
    <row r="1435" spans="1:4" x14ac:dyDescent="0.25">
      <c r="A1435" t="s">
        <v>1286</v>
      </c>
      <c r="B1435" t="s">
        <v>2211</v>
      </c>
      <c r="C1435" t="s">
        <v>1287</v>
      </c>
      <c r="D1435" t="str">
        <f t="shared" si="22"/>
        <v>pdf</v>
      </c>
    </row>
    <row r="1436" spans="1:4" x14ac:dyDescent="0.25">
      <c r="A1436" t="s">
        <v>1286</v>
      </c>
      <c r="B1436" t="s">
        <v>2211</v>
      </c>
      <c r="C1436" t="s">
        <v>1288</v>
      </c>
      <c r="D1436" t="str">
        <f t="shared" si="22"/>
        <v>pdf</v>
      </c>
    </row>
    <row r="1437" spans="1:4" x14ac:dyDescent="0.25">
      <c r="A1437" t="s">
        <v>1286</v>
      </c>
      <c r="B1437" t="s">
        <v>2211</v>
      </c>
      <c r="C1437" t="s">
        <v>1289</v>
      </c>
      <c r="D1437" t="str">
        <f t="shared" si="22"/>
        <v>pdf</v>
      </c>
    </row>
    <row r="1438" spans="1:4" x14ac:dyDescent="0.25">
      <c r="A1438" t="s">
        <v>1286</v>
      </c>
      <c r="B1438" t="s">
        <v>2211</v>
      </c>
      <c r="C1438" t="s">
        <v>1290</v>
      </c>
      <c r="D1438" t="str">
        <f t="shared" si="22"/>
        <v>pdf</v>
      </c>
    </row>
    <row r="1439" spans="1:4" x14ac:dyDescent="0.25">
      <c r="A1439" t="s">
        <v>1291</v>
      </c>
      <c r="B1439" t="s">
        <v>2212</v>
      </c>
      <c r="C1439" t="s">
        <v>1292</v>
      </c>
      <c r="D1439" t="str">
        <f t="shared" si="22"/>
        <v>las</v>
      </c>
    </row>
    <row r="1440" spans="1:4" x14ac:dyDescent="0.25">
      <c r="A1440" t="s">
        <v>1291</v>
      </c>
      <c r="B1440" t="s">
        <v>2212</v>
      </c>
      <c r="C1440" t="s">
        <v>1293</v>
      </c>
      <c r="D1440" t="str">
        <f t="shared" si="22"/>
        <v>las</v>
      </c>
    </row>
    <row r="1441" spans="1:4" x14ac:dyDescent="0.25">
      <c r="A1441" t="s">
        <v>1291</v>
      </c>
      <c r="B1441" t="s">
        <v>2212</v>
      </c>
      <c r="C1441" t="s">
        <v>1294</v>
      </c>
      <c r="D1441" t="str">
        <f t="shared" si="22"/>
        <v>sdg</v>
      </c>
    </row>
    <row r="1442" spans="1:4" x14ac:dyDescent="0.25">
      <c r="A1442" t="s">
        <v>1291</v>
      </c>
      <c r="B1442" t="s">
        <v>2212</v>
      </c>
      <c r="C1442" t="s">
        <v>1295</v>
      </c>
      <c r="D1442" t="str">
        <f t="shared" si="22"/>
        <v>xlsx</v>
      </c>
    </row>
    <row r="1443" spans="1:4" x14ac:dyDescent="0.25">
      <c r="A1443" t="s">
        <v>1291</v>
      </c>
      <c r="B1443" t="s">
        <v>2212</v>
      </c>
      <c r="C1443" t="s">
        <v>1296</v>
      </c>
      <c r="D1443" t="str">
        <f t="shared" si="22"/>
        <v>pdf</v>
      </c>
    </row>
    <row r="1444" spans="1:4" x14ac:dyDescent="0.25">
      <c r="A1444" t="s">
        <v>1297</v>
      </c>
      <c r="B1444" t="s">
        <v>2213</v>
      </c>
      <c r="C1444" t="s">
        <v>1298</v>
      </c>
      <c r="D1444" t="str">
        <f t="shared" si="22"/>
        <v>las</v>
      </c>
    </row>
    <row r="1445" spans="1:4" x14ac:dyDescent="0.25">
      <c r="A1445" t="s">
        <v>1297</v>
      </c>
      <c r="B1445" t="s">
        <v>2213</v>
      </c>
      <c r="C1445" t="s">
        <v>1299</v>
      </c>
      <c r="D1445" t="str">
        <f t="shared" si="22"/>
        <v>sdg</v>
      </c>
    </row>
    <row r="1446" spans="1:4" x14ac:dyDescent="0.25">
      <c r="A1446" t="s">
        <v>1297</v>
      </c>
      <c r="B1446" t="s">
        <v>2213</v>
      </c>
      <c r="C1446" t="s">
        <v>1300</v>
      </c>
      <c r="D1446" t="str">
        <f t="shared" si="22"/>
        <v>xlsx</v>
      </c>
    </row>
    <row r="1447" spans="1:4" x14ac:dyDescent="0.25">
      <c r="A1447" t="s">
        <v>1301</v>
      </c>
      <c r="B1447" t="s">
        <v>2214</v>
      </c>
      <c r="C1447" t="s">
        <v>1302</v>
      </c>
      <c r="D1447" t="str">
        <f t="shared" si="22"/>
        <v>pdf</v>
      </c>
    </row>
    <row r="1448" spans="1:4" x14ac:dyDescent="0.25">
      <c r="A1448" t="s">
        <v>1301</v>
      </c>
      <c r="B1448" t="s">
        <v>2214</v>
      </c>
      <c r="C1448" t="s">
        <v>1303</v>
      </c>
      <c r="D1448" t="str">
        <f t="shared" si="22"/>
        <v>tif</v>
      </c>
    </row>
    <row r="1449" spans="1:4" x14ac:dyDescent="0.25">
      <c r="A1449" t="s">
        <v>1301</v>
      </c>
      <c r="B1449" t="s">
        <v>2214</v>
      </c>
      <c r="C1449" t="s">
        <v>1304</v>
      </c>
      <c r="D1449" t="str">
        <f t="shared" si="22"/>
        <v>tif</v>
      </c>
    </row>
    <row r="1450" spans="1:4" x14ac:dyDescent="0.25">
      <c r="A1450" t="s">
        <v>1301</v>
      </c>
      <c r="B1450" t="s">
        <v>2214</v>
      </c>
      <c r="C1450" t="s">
        <v>1305</v>
      </c>
      <c r="D1450" t="str">
        <f t="shared" si="22"/>
        <v>tif</v>
      </c>
    </row>
    <row r="1451" spans="1:4" x14ac:dyDescent="0.25">
      <c r="A1451" t="s">
        <v>1301</v>
      </c>
      <c r="B1451" t="s">
        <v>2214</v>
      </c>
      <c r="C1451" t="s">
        <v>1306</v>
      </c>
      <c r="D1451" t="str">
        <f t="shared" si="22"/>
        <v>tif</v>
      </c>
    </row>
    <row r="1452" spans="1:4" x14ac:dyDescent="0.25">
      <c r="A1452" t="s">
        <v>1301</v>
      </c>
      <c r="B1452" t="s">
        <v>2214</v>
      </c>
      <c r="C1452" t="s">
        <v>1307</v>
      </c>
      <c r="D1452" t="str">
        <f t="shared" si="22"/>
        <v>pdf</v>
      </c>
    </row>
    <row r="1453" spans="1:4" x14ac:dyDescent="0.25">
      <c r="A1453" t="s">
        <v>1308</v>
      </c>
      <c r="B1453" t="s">
        <v>2215</v>
      </c>
      <c r="C1453" t="s">
        <v>1309</v>
      </c>
      <c r="D1453" t="str">
        <f t="shared" si="22"/>
        <v>las</v>
      </c>
    </row>
    <row r="1454" spans="1:4" x14ac:dyDescent="0.25">
      <c r="A1454" t="s">
        <v>1308</v>
      </c>
      <c r="B1454" t="s">
        <v>2215</v>
      </c>
      <c r="C1454" t="s">
        <v>1310</v>
      </c>
      <c r="D1454" t="str">
        <f t="shared" si="22"/>
        <v>sdg</v>
      </c>
    </row>
    <row r="1455" spans="1:4" x14ac:dyDescent="0.25">
      <c r="A1455" t="s">
        <v>1308</v>
      </c>
      <c r="B1455" t="s">
        <v>2215</v>
      </c>
      <c r="C1455" t="s">
        <v>1311</v>
      </c>
      <c r="D1455" t="str">
        <f t="shared" si="22"/>
        <v>xlsx</v>
      </c>
    </row>
    <row r="1456" spans="1:4" x14ac:dyDescent="0.25">
      <c r="A1456" t="s">
        <v>1312</v>
      </c>
      <c r="B1456" t="s">
        <v>2216</v>
      </c>
      <c r="C1456" t="s">
        <v>1313</v>
      </c>
      <c r="D1456" t="str">
        <f t="shared" si="22"/>
        <v>las</v>
      </c>
    </row>
    <row r="1457" spans="1:4" x14ac:dyDescent="0.25">
      <c r="A1457" t="s">
        <v>1312</v>
      </c>
      <c r="B1457" t="s">
        <v>2216</v>
      </c>
      <c r="C1457" t="s">
        <v>1314</v>
      </c>
      <c r="D1457" t="str">
        <f t="shared" si="22"/>
        <v>las</v>
      </c>
    </row>
    <row r="1458" spans="1:4" x14ac:dyDescent="0.25">
      <c r="A1458" t="s">
        <v>1312</v>
      </c>
      <c r="B1458" t="s">
        <v>2216</v>
      </c>
      <c r="C1458" t="s">
        <v>1315</v>
      </c>
      <c r="D1458" t="str">
        <f t="shared" si="22"/>
        <v>pdf</v>
      </c>
    </row>
    <row r="1459" spans="1:4" x14ac:dyDescent="0.25">
      <c r="A1459" t="s">
        <v>1312</v>
      </c>
      <c r="B1459" t="s">
        <v>2216</v>
      </c>
      <c r="C1459" t="s">
        <v>1316</v>
      </c>
      <c r="D1459" t="str">
        <f t="shared" si="22"/>
        <v>sdg</v>
      </c>
    </row>
    <row r="1460" spans="1:4" x14ac:dyDescent="0.25">
      <c r="A1460" t="s">
        <v>1312</v>
      </c>
      <c r="B1460" t="s">
        <v>2216</v>
      </c>
      <c r="C1460" t="s">
        <v>1317</v>
      </c>
      <c r="D1460" t="str">
        <f t="shared" si="22"/>
        <v>xlsx</v>
      </c>
    </row>
    <row r="1461" spans="1:4" x14ac:dyDescent="0.25">
      <c r="A1461" t="s">
        <v>1312</v>
      </c>
      <c r="B1461" t="s">
        <v>2216</v>
      </c>
      <c r="C1461" t="s">
        <v>1318</v>
      </c>
      <c r="D1461" t="str">
        <f t="shared" si="22"/>
        <v>las</v>
      </c>
    </row>
    <row r="1462" spans="1:4" x14ac:dyDescent="0.25">
      <c r="A1462" t="s">
        <v>1312</v>
      </c>
      <c r="B1462" t="s">
        <v>2216</v>
      </c>
      <c r="C1462" t="s">
        <v>1319</v>
      </c>
      <c r="D1462" t="str">
        <f t="shared" si="22"/>
        <v>las</v>
      </c>
    </row>
    <row r="1463" spans="1:4" x14ac:dyDescent="0.25">
      <c r="A1463" t="s">
        <v>1320</v>
      </c>
      <c r="B1463" t="s">
        <v>2217</v>
      </c>
      <c r="C1463" t="s">
        <v>1321</v>
      </c>
      <c r="D1463" t="str">
        <f t="shared" si="22"/>
        <v>pdf</v>
      </c>
    </row>
    <row r="1464" spans="1:4" x14ac:dyDescent="0.25">
      <c r="A1464" t="s">
        <v>1320</v>
      </c>
      <c r="B1464" t="s">
        <v>2217</v>
      </c>
      <c r="C1464" t="s">
        <v>1322</v>
      </c>
      <c r="D1464" t="str">
        <f t="shared" si="22"/>
        <v>pdf</v>
      </c>
    </row>
    <row r="1465" spans="1:4" x14ac:dyDescent="0.25">
      <c r="A1465" t="s">
        <v>1320</v>
      </c>
      <c r="B1465" t="s">
        <v>2217</v>
      </c>
      <c r="C1465" t="s">
        <v>1323</v>
      </c>
      <c r="D1465" t="str">
        <f t="shared" si="22"/>
        <v>pdf</v>
      </c>
    </row>
    <row r="1466" spans="1:4" x14ac:dyDescent="0.25">
      <c r="A1466" t="s">
        <v>1320</v>
      </c>
      <c r="B1466" t="s">
        <v>2217</v>
      </c>
      <c r="C1466" t="s">
        <v>1324</v>
      </c>
      <c r="D1466" t="str">
        <f t="shared" si="22"/>
        <v>pdf</v>
      </c>
    </row>
    <row r="1467" spans="1:4" x14ac:dyDescent="0.25">
      <c r="A1467" t="s">
        <v>1325</v>
      </c>
      <c r="B1467" t="s">
        <v>2218</v>
      </c>
      <c r="C1467" t="s">
        <v>1326</v>
      </c>
      <c r="D1467" t="str">
        <f t="shared" si="22"/>
        <v>pdf</v>
      </c>
    </row>
    <row r="1468" spans="1:4" x14ac:dyDescent="0.25">
      <c r="A1468" t="s">
        <v>1325</v>
      </c>
      <c r="B1468" t="s">
        <v>2218</v>
      </c>
      <c r="C1468" t="s">
        <v>1327</v>
      </c>
      <c r="D1468" t="str">
        <f t="shared" si="22"/>
        <v>pdf</v>
      </c>
    </row>
    <row r="1469" spans="1:4" x14ac:dyDescent="0.25">
      <c r="A1469" t="s">
        <v>1325</v>
      </c>
      <c r="B1469" t="s">
        <v>2218</v>
      </c>
      <c r="C1469" t="s">
        <v>1328</v>
      </c>
      <c r="D1469" t="str">
        <f t="shared" si="22"/>
        <v>pdf</v>
      </c>
    </row>
    <row r="1470" spans="1:4" x14ac:dyDescent="0.25">
      <c r="A1470" t="s">
        <v>1329</v>
      </c>
      <c r="B1470" t="s">
        <v>2219</v>
      </c>
      <c r="C1470" t="s">
        <v>1330</v>
      </c>
      <c r="D1470" t="str">
        <f t="shared" si="22"/>
        <v>pdf</v>
      </c>
    </row>
    <row r="1471" spans="1:4" x14ac:dyDescent="0.25">
      <c r="A1471" t="s">
        <v>1329</v>
      </c>
      <c r="B1471" t="s">
        <v>2219</v>
      </c>
      <c r="C1471" t="s">
        <v>1331</v>
      </c>
      <c r="D1471" t="str">
        <f t="shared" si="22"/>
        <v>pdf</v>
      </c>
    </row>
    <row r="1472" spans="1:4" x14ac:dyDescent="0.25">
      <c r="A1472" t="s">
        <v>1329</v>
      </c>
      <c r="B1472" t="s">
        <v>2219</v>
      </c>
      <c r="C1472" t="s">
        <v>1332</v>
      </c>
      <c r="D1472" t="str">
        <f t="shared" si="22"/>
        <v>pdf</v>
      </c>
    </row>
    <row r="1473" spans="1:4" x14ac:dyDescent="0.25">
      <c r="A1473" t="s">
        <v>1329</v>
      </c>
      <c r="B1473" t="s">
        <v>2219</v>
      </c>
      <c r="C1473" t="s">
        <v>1333</v>
      </c>
      <c r="D1473" t="str">
        <f t="shared" si="22"/>
        <v>pdf</v>
      </c>
    </row>
    <row r="1474" spans="1:4" x14ac:dyDescent="0.25">
      <c r="A1474" t="s">
        <v>1329</v>
      </c>
      <c r="B1474" t="s">
        <v>2219</v>
      </c>
      <c r="C1474" t="s">
        <v>1334</v>
      </c>
      <c r="D1474" t="str">
        <f t="shared" si="22"/>
        <v>pdf</v>
      </c>
    </row>
    <row r="1475" spans="1:4" x14ac:dyDescent="0.25">
      <c r="A1475" t="s">
        <v>1335</v>
      </c>
      <c r="B1475" t="s">
        <v>2220</v>
      </c>
      <c r="C1475" t="s">
        <v>1336</v>
      </c>
      <c r="D1475" t="str">
        <f t="shared" ref="D1475:D1538" si="23">IF(ISNUMBER(SEARCH(".pdf",C1475)),"pdf",IF(ISNUMBER(SEARCH(".tif",C1475)),"tif",IF(ISNUMBER(SEARCH(".las",C1475)),"las",IF(ISNUMBER(SEARCH(".sdg",C1475)),"sdg",IF(ISNUMBER(SEARCH(".xlsx",C1475)),"xlsx",IF(ISNUMBER(SEARCH(".docx",C1475)),"docx",IF(ISNUMBER(SEARCH(".rhistory",C1475)),"rhistory",IF(ISNUMBER(SEARCH(".db",C1475)),"db",IF(ISNUMBER(SEARCH(".jpg",C1475)),"jpg",IF(ISNUMBER(SEARCH(".png",C1475)),"png",IF(ISNUMBER(SEARCH(".mdb",C1475)),"mdb",IF(ISNUMBER(SEARCH(".xml",C1475)),"xml",IF(ISNUMBER(SEARCH(".xls",C1475)),"xls",IF(ISNUMBER(SEARCH(".txt",C1475)),"txt",IF(ISNUMBER(SEARCH(".tsf",C1475)),"tsf",IF(ISNUMBER(SEARCH(".sch",C1475)),"sch","ZIP oder R"))))))))))))))))</f>
        <v>pdf</v>
      </c>
    </row>
    <row r="1476" spans="1:4" x14ac:dyDescent="0.25">
      <c r="A1476" t="s">
        <v>1335</v>
      </c>
      <c r="B1476" t="s">
        <v>2220</v>
      </c>
      <c r="C1476" t="s">
        <v>1337</v>
      </c>
      <c r="D1476" t="str">
        <f t="shared" si="23"/>
        <v>pdf</v>
      </c>
    </row>
    <row r="1477" spans="1:4" x14ac:dyDescent="0.25">
      <c r="A1477" t="s">
        <v>1338</v>
      </c>
      <c r="B1477" t="s">
        <v>2221</v>
      </c>
      <c r="C1477" t="s">
        <v>1339</v>
      </c>
      <c r="D1477" t="str">
        <f t="shared" si="23"/>
        <v>pdf</v>
      </c>
    </row>
    <row r="1478" spans="1:4" x14ac:dyDescent="0.25">
      <c r="A1478" t="s">
        <v>1338</v>
      </c>
      <c r="B1478" t="s">
        <v>2221</v>
      </c>
      <c r="C1478" t="s">
        <v>1340</v>
      </c>
      <c r="D1478" t="str">
        <f t="shared" si="23"/>
        <v>pdf</v>
      </c>
    </row>
    <row r="1479" spans="1:4" x14ac:dyDescent="0.25">
      <c r="A1479" t="s">
        <v>1338</v>
      </c>
      <c r="B1479" t="s">
        <v>2221</v>
      </c>
      <c r="C1479" t="s">
        <v>1341</v>
      </c>
      <c r="D1479" t="str">
        <f t="shared" si="23"/>
        <v>pdf</v>
      </c>
    </row>
    <row r="1480" spans="1:4" x14ac:dyDescent="0.25">
      <c r="A1480" t="s">
        <v>1338</v>
      </c>
      <c r="B1480" t="s">
        <v>2221</v>
      </c>
      <c r="C1480" t="s">
        <v>1342</v>
      </c>
      <c r="D1480" t="str">
        <f t="shared" si="23"/>
        <v>pdf</v>
      </c>
    </row>
    <row r="1481" spans="1:4" x14ac:dyDescent="0.25">
      <c r="A1481" t="s">
        <v>1338</v>
      </c>
      <c r="B1481" t="s">
        <v>2221</v>
      </c>
      <c r="C1481" t="s">
        <v>1343</v>
      </c>
      <c r="D1481" t="str">
        <f t="shared" si="23"/>
        <v>pdf</v>
      </c>
    </row>
    <row r="1482" spans="1:4" x14ac:dyDescent="0.25">
      <c r="A1482" t="s">
        <v>1338</v>
      </c>
      <c r="B1482" t="s">
        <v>2221</v>
      </c>
      <c r="C1482" t="s">
        <v>1344</v>
      </c>
      <c r="D1482" t="str">
        <f t="shared" si="23"/>
        <v>pdf</v>
      </c>
    </row>
    <row r="1483" spans="1:4" x14ac:dyDescent="0.25">
      <c r="A1483" t="s">
        <v>1338</v>
      </c>
      <c r="B1483" t="s">
        <v>2221</v>
      </c>
      <c r="C1483" t="s">
        <v>1345</v>
      </c>
      <c r="D1483" t="str">
        <f t="shared" si="23"/>
        <v>pdf</v>
      </c>
    </row>
    <row r="1484" spans="1:4" x14ac:dyDescent="0.25">
      <c r="A1484" t="s">
        <v>1338</v>
      </c>
      <c r="B1484" t="s">
        <v>2221</v>
      </c>
      <c r="C1484" t="s">
        <v>1346</v>
      </c>
      <c r="D1484" t="str">
        <f t="shared" si="23"/>
        <v>pdf</v>
      </c>
    </row>
    <row r="1485" spans="1:4" x14ac:dyDescent="0.25">
      <c r="A1485" t="s">
        <v>1338</v>
      </c>
      <c r="B1485" t="s">
        <v>2221</v>
      </c>
      <c r="C1485" t="s">
        <v>1347</v>
      </c>
      <c r="D1485" t="str">
        <f t="shared" si="23"/>
        <v>pdf</v>
      </c>
    </row>
    <row r="1486" spans="1:4" x14ac:dyDescent="0.25">
      <c r="A1486" t="s">
        <v>1348</v>
      </c>
      <c r="B1486" t="s">
        <v>2222</v>
      </c>
      <c r="C1486" t="s">
        <v>1349</v>
      </c>
      <c r="D1486" t="str">
        <f t="shared" si="23"/>
        <v>las</v>
      </c>
    </row>
    <row r="1487" spans="1:4" x14ac:dyDescent="0.25">
      <c r="A1487" t="s">
        <v>1348</v>
      </c>
      <c r="B1487" t="s">
        <v>2222</v>
      </c>
      <c r="C1487" t="s">
        <v>1350</v>
      </c>
      <c r="D1487" t="str">
        <f t="shared" si="23"/>
        <v>las</v>
      </c>
    </row>
    <row r="1488" spans="1:4" x14ac:dyDescent="0.25">
      <c r="A1488" t="s">
        <v>1348</v>
      </c>
      <c r="B1488" t="s">
        <v>2222</v>
      </c>
      <c r="C1488" t="s">
        <v>1351</v>
      </c>
      <c r="D1488" t="str">
        <f t="shared" si="23"/>
        <v>las</v>
      </c>
    </row>
    <row r="1489" spans="1:4" x14ac:dyDescent="0.25">
      <c r="A1489" t="s">
        <v>1348</v>
      </c>
      <c r="B1489" t="s">
        <v>2222</v>
      </c>
      <c r="C1489" t="s">
        <v>1352</v>
      </c>
      <c r="D1489" t="str">
        <f t="shared" si="23"/>
        <v>las</v>
      </c>
    </row>
    <row r="1490" spans="1:4" x14ac:dyDescent="0.25">
      <c r="A1490" t="s">
        <v>1348</v>
      </c>
      <c r="B1490" t="s">
        <v>2222</v>
      </c>
      <c r="C1490" t="s">
        <v>1353</v>
      </c>
      <c r="D1490" t="str">
        <f t="shared" si="23"/>
        <v>sdg</v>
      </c>
    </row>
    <row r="1491" spans="1:4" x14ac:dyDescent="0.25">
      <c r="A1491" t="s">
        <v>1348</v>
      </c>
      <c r="B1491" t="s">
        <v>2222</v>
      </c>
      <c r="C1491" t="s">
        <v>1354</v>
      </c>
      <c r="D1491" t="str">
        <f t="shared" si="23"/>
        <v>xlsx</v>
      </c>
    </row>
    <row r="1492" spans="1:4" x14ac:dyDescent="0.25">
      <c r="A1492" t="s">
        <v>1355</v>
      </c>
      <c r="B1492" t="s">
        <v>2223</v>
      </c>
      <c r="C1492" t="s">
        <v>1356</v>
      </c>
      <c r="D1492" t="str">
        <f t="shared" si="23"/>
        <v>las</v>
      </c>
    </row>
    <row r="1493" spans="1:4" x14ac:dyDescent="0.25">
      <c r="A1493" t="s">
        <v>1355</v>
      </c>
      <c r="B1493" t="s">
        <v>2223</v>
      </c>
      <c r="C1493" t="s">
        <v>1357</v>
      </c>
      <c r="D1493" t="str">
        <f t="shared" si="23"/>
        <v>sdg</v>
      </c>
    </row>
    <row r="1494" spans="1:4" x14ac:dyDescent="0.25">
      <c r="A1494" t="s">
        <v>1355</v>
      </c>
      <c r="B1494" t="s">
        <v>2223</v>
      </c>
      <c r="C1494" t="s">
        <v>1358</v>
      </c>
      <c r="D1494" t="str">
        <f t="shared" si="23"/>
        <v>xlsx</v>
      </c>
    </row>
    <row r="1495" spans="1:4" x14ac:dyDescent="0.25">
      <c r="A1495" t="s">
        <v>1355</v>
      </c>
      <c r="B1495" t="s">
        <v>2223</v>
      </c>
      <c r="C1495" t="s">
        <v>1359</v>
      </c>
      <c r="D1495" t="str">
        <f t="shared" si="23"/>
        <v>pdf</v>
      </c>
    </row>
    <row r="1496" spans="1:4" x14ac:dyDescent="0.25">
      <c r="A1496" t="s">
        <v>1360</v>
      </c>
      <c r="B1496" t="s">
        <v>2224</v>
      </c>
      <c r="C1496" t="s">
        <v>1361</v>
      </c>
      <c r="D1496" t="str">
        <f t="shared" si="23"/>
        <v>pdf</v>
      </c>
    </row>
    <row r="1497" spans="1:4" x14ac:dyDescent="0.25">
      <c r="A1497" t="s">
        <v>1360</v>
      </c>
      <c r="B1497" t="s">
        <v>2224</v>
      </c>
      <c r="C1497" t="s">
        <v>1362</v>
      </c>
      <c r="D1497" t="str">
        <f t="shared" si="23"/>
        <v>las</v>
      </c>
    </row>
    <row r="1498" spans="1:4" x14ac:dyDescent="0.25">
      <c r="A1498" t="s">
        <v>1360</v>
      </c>
      <c r="B1498" t="s">
        <v>2224</v>
      </c>
      <c r="C1498" t="s">
        <v>1363</v>
      </c>
      <c r="D1498" t="str">
        <f t="shared" si="23"/>
        <v>sdg</v>
      </c>
    </row>
    <row r="1499" spans="1:4" x14ac:dyDescent="0.25">
      <c r="A1499" t="s">
        <v>1360</v>
      </c>
      <c r="B1499" t="s">
        <v>2224</v>
      </c>
      <c r="C1499" t="s">
        <v>1364</v>
      </c>
      <c r="D1499" t="str">
        <f t="shared" si="23"/>
        <v>xlsx</v>
      </c>
    </row>
    <row r="1500" spans="1:4" x14ac:dyDescent="0.25">
      <c r="A1500" t="s">
        <v>1360</v>
      </c>
      <c r="B1500" t="s">
        <v>2224</v>
      </c>
      <c r="C1500" t="s">
        <v>1365</v>
      </c>
      <c r="D1500" t="str">
        <f t="shared" si="23"/>
        <v>pdf</v>
      </c>
    </row>
    <row r="1501" spans="1:4" x14ac:dyDescent="0.25">
      <c r="A1501" t="s">
        <v>1366</v>
      </c>
      <c r="B1501" t="s">
        <v>2225</v>
      </c>
      <c r="C1501" t="s">
        <v>1367</v>
      </c>
      <c r="D1501" t="str">
        <f t="shared" si="23"/>
        <v>pdf</v>
      </c>
    </row>
    <row r="1502" spans="1:4" x14ac:dyDescent="0.25">
      <c r="A1502" t="s">
        <v>1366</v>
      </c>
      <c r="B1502" t="s">
        <v>2225</v>
      </c>
      <c r="C1502" t="s">
        <v>1368</v>
      </c>
      <c r="D1502" t="str">
        <f t="shared" si="23"/>
        <v>pdf</v>
      </c>
    </row>
    <row r="1503" spans="1:4" x14ac:dyDescent="0.25">
      <c r="A1503" t="s">
        <v>1366</v>
      </c>
      <c r="B1503" t="s">
        <v>2225</v>
      </c>
      <c r="C1503" t="s">
        <v>1369</v>
      </c>
      <c r="D1503" t="str">
        <f t="shared" si="23"/>
        <v>pdf</v>
      </c>
    </row>
    <row r="1504" spans="1:4" x14ac:dyDescent="0.25">
      <c r="A1504" t="s">
        <v>1366</v>
      </c>
      <c r="B1504" t="s">
        <v>2225</v>
      </c>
      <c r="C1504" t="s">
        <v>1370</v>
      </c>
      <c r="D1504" t="str">
        <f t="shared" si="23"/>
        <v>pdf</v>
      </c>
    </row>
    <row r="1505" spans="1:4" x14ac:dyDescent="0.25">
      <c r="A1505" t="s">
        <v>1371</v>
      </c>
      <c r="B1505" t="s">
        <v>2226</v>
      </c>
      <c r="C1505" t="s">
        <v>1372</v>
      </c>
      <c r="D1505" t="str">
        <f t="shared" si="23"/>
        <v>pdf</v>
      </c>
    </row>
    <row r="1506" spans="1:4" x14ac:dyDescent="0.25">
      <c r="A1506" t="s">
        <v>1371</v>
      </c>
      <c r="B1506" t="s">
        <v>2226</v>
      </c>
      <c r="C1506" t="s">
        <v>1373</v>
      </c>
      <c r="D1506" t="str">
        <f t="shared" si="23"/>
        <v>pdf</v>
      </c>
    </row>
    <row r="1507" spans="1:4" x14ac:dyDescent="0.25">
      <c r="A1507" t="s">
        <v>1371</v>
      </c>
      <c r="B1507" t="s">
        <v>2226</v>
      </c>
      <c r="C1507" t="s">
        <v>1374</v>
      </c>
      <c r="D1507" t="str">
        <f t="shared" si="23"/>
        <v>pdf</v>
      </c>
    </row>
    <row r="1508" spans="1:4" x14ac:dyDescent="0.25">
      <c r="A1508" t="s">
        <v>1371</v>
      </c>
      <c r="B1508" t="s">
        <v>2226</v>
      </c>
      <c r="C1508" t="s">
        <v>1375</v>
      </c>
      <c r="D1508" t="str">
        <f t="shared" si="23"/>
        <v>pdf</v>
      </c>
    </row>
    <row r="1509" spans="1:4" x14ac:dyDescent="0.25">
      <c r="A1509" t="s">
        <v>1376</v>
      </c>
      <c r="B1509" t="s">
        <v>2227</v>
      </c>
      <c r="C1509" t="s">
        <v>1377</v>
      </c>
      <c r="D1509" t="str">
        <f t="shared" si="23"/>
        <v>pdf</v>
      </c>
    </row>
    <row r="1510" spans="1:4" x14ac:dyDescent="0.25">
      <c r="A1510" t="s">
        <v>1376</v>
      </c>
      <c r="B1510" t="s">
        <v>2227</v>
      </c>
      <c r="C1510" t="s">
        <v>1378</v>
      </c>
      <c r="D1510" t="str">
        <f t="shared" si="23"/>
        <v>tif</v>
      </c>
    </row>
    <row r="1511" spans="1:4" x14ac:dyDescent="0.25">
      <c r="A1511" t="s">
        <v>1376</v>
      </c>
      <c r="B1511" t="s">
        <v>2227</v>
      </c>
      <c r="C1511" t="s">
        <v>1379</v>
      </c>
      <c r="D1511" t="str">
        <f t="shared" si="23"/>
        <v>tif</v>
      </c>
    </row>
    <row r="1512" spans="1:4" x14ac:dyDescent="0.25">
      <c r="A1512" t="s">
        <v>1376</v>
      </c>
      <c r="B1512" t="s">
        <v>2227</v>
      </c>
      <c r="C1512" t="s">
        <v>1380</v>
      </c>
      <c r="D1512" t="str">
        <f t="shared" si="23"/>
        <v>tif</v>
      </c>
    </row>
    <row r="1513" spans="1:4" x14ac:dyDescent="0.25">
      <c r="A1513" t="s">
        <v>1376</v>
      </c>
      <c r="B1513" t="s">
        <v>2227</v>
      </c>
      <c r="C1513" t="s">
        <v>1381</v>
      </c>
      <c r="D1513" t="str">
        <f t="shared" si="23"/>
        <v>tif</v>
      </c>
    </row>
    <row r="1514" spans="1:4" x14ac:dyDescent="0.25">
      <c r="A1514" t="s">
        <v>1376</v>
      </c>
      <c r="B1514" t="s">
        <v>2227</v>
      </c>
      <c r="C1514" t="s">
        <v>1382</v>
      </c>
      <c r="D1514" t="str">
        <f t="shared" si="23"/>
        <v>jpg</v>
      </c>
    </row>
    <row r="1515" spans="1:4" x14ac:dyDescent="0.25">
      <c r="A1515" t="s">
        <v>1376</v>
      </c>
      <c r="B1515" t="s">
        <v>2227</v>
      </c>
      <c r="C1515" t="s">
        <v>1383</v>
      </c>
      <c r="D1515" t="str">
        <f t="shared" si="23"/>
        <v>jpg</v>
      </c>
    </row>
    <row r="1516" spans="1:4" x14ac:dyDescent="0.25">
      <c r="A1516" t="s">
        <v>1376</v>
      </c>
      <c r="B1516" t="s">
        <v>2227</v>
      </c>
      <c r="C1516" t="s">
        <v>1384</v>
      </c>
      <c r="D1516" t="str">
        <f t="shared" si="23"/>
        <v>jpg</v>
      </c>
    </row>
    <row r="1517" spans="1:4" x14ac:dyDescent="0.25">
      <c r="A1517" t="s">
        <v>1376</v>
      </c>
      <c r="B1517" t="s">
        <v>2227</v>
      </c>
      <c r="C1517" t="s">
        <v>1385</v>
      </c>
      <c r="D1517" t="str">
        <f t="shared" si="23"/>
        <v>jpg</v>
      </c>
    </row>
    <row r="1518" spans="1:4" x14ac:dyDescent="0.25">
      <c r="A1518" t="s">
        <v>1376</v>
      </c>
      <c r="B1518" t="s">
        <v>2227</v>
      </c>
      <c r="C1518" t="s">
        <v>1386</v>
      </c>
      <c r="D1518" t="str">
        <f t="shared" si="23"/>
        <v>pdf</v>
      </c>
    </row>
    <row r="1519" spans="1:4" x14ac:dyDescent="0.25">
      <c r="A1519" t="s">
        <v>1387</v>
      </c>
      <c r="B1519" t="s">
        <v>2228</v>
      </c>
      <c r="C1519" t="s">
        <v>1388</v>
      </c>
      <c r="D1519" t="str">
        <f t="shared" si="23"/>
        <v>pdf</v>
      </c>
    </row>
    <row r="1520" spans="1:4" x14ac:dyDescent="0.25">
      <c r="A1520" t="s">
        <v>1387</v>
      </c>
      <c r="B1520" t="s">
        <v>2228</v>
      </c>
      <c r="C1520" t="s">
        <v>1389</v>
      </c>
      <c r="D1520" t="str">
        <f t="shared" si="23"/>
        <v>tif</v>
      </c>
    </row>
    <row r="1521" spans="1:4" x14ac:dyDescent="0.25">
      <c r="A1521" t="s">
        <v>1387</v>
      </c>
      <c r="B1521" t="s">
        <v>2228</v>
      </c>
      <c r="C1521" t="s">
        <v>1390</v>
      </c>
      <c r="D1521" t="str">
        <f t="shared" si="23"/>
        <v>tif</v>
      </c>
    </row>
    <row r="1522" spans="1:4" x14ac:dyDescent="0.25">
      <c r="A1522" t="s">
        <v>1387</v>
      </c>
      <c r="B1522" t="s">
        <v>2228</v>
      </c>
      <c r="C1522" t="s">
        <v>1391</v>
      </c>
      <c r="D1522" t="str">
        <f t="shared" si="23"/>
        <v>tif</v>
      </c>
    </row>
    <row r="1523" spans="1:4" x14ac:dyDescent="0.25">
      <c r="A1523" t="s">
        <v>1387</v>
      </c>
      <c r="B1523" t="s">
        <v>2228</v>
      </c>
      <c r="C1523" t="s">
        <v>1392</v>
      </c>
      <c r="D1523" t="str">
        <f t="shared" si="23"/>
        <v>tif</v>
      </c>
    </row>
    <row r="1524" spans="1:4" x14ac:dyDescent="0.25">
      <c r="A1524" t="s">
        <v>1387</v>
      </c>
      <c r="B1524" t="s">
        <v>2228</v>
      </c>
      <c r="C1524" t="s">
        <v>1393</v>
      </c>
      <c r="D1524" t="str">
        <f t="shared" si="23"/>
        <v>tif</v>
      </c>
    </row>
    <row r="1525" spans="1:4" x14ac:dyDescent="0.25">
      <c r="A1525" t="s">
        <v>1387</v>
      </c>
      <c r="B1525" t="s">
        <v>2228</v>
      </c>
      <c r="C1525" t="s">
        <v>1394</v>
      </c>
      <c r="D1525" t="str">
        <f t="shared" si="23"/>
        <v>jpg</v>
      </c>
    </row>
    <row r="1526" spans="1:4" x14ac:dyDescent="0.25">
      <c r="A1526" t="s">
        <v>1387</v>
      </c>
      <c r="B1526" t="s">
        <v>2228</v>
      </c>
      <c r="C1526" t="s">
        <v>1395</v>
      </c>
      <c r="D1526" t="str">
        <f t="shared" si="23"/>
        <v>jpg</v>
      </c>
    </row>
    <row r="1527" spans="1:4" x14ac:dyDescent="0.25">
      <c r="A1527" t="s">
        <v>1387</v>
      </c>
      <c r="B1527" t="s">
        <v>2228</v>
      </c>
      <c r="C1527" t="s">
        <v>1396</v>
      </c>
      <c r="D1527" t="str">
        <f t="shared" si="23"/>
        <v>pdf</v>
      </c>
    </row>
    <row r="1528" spans="1:4" x14ac:dyDescent="0.25">
      <c r="A1528" t="s">
        <v>1397</v>
      </c>
      <c r="B1528" t="s">
        <v>2229</v>
      </c>
      <c r="C1528" t="s">
        <v>1398</v>
      </c>
      <c r="D1528" t="str">
        <f t="shared" si="23"/>
        <v>sdg</v>
      </c>
    </row>
    <row r="1529" spans="1:4" x14ac:dyDescent="0.25">
      <c r="A1529" t="s">
        <v>1397</v>
      </c>
      <c r="B1529" t="s">
        <v>2229</v>
      </c>
      <c r="C1529" t="s">
        <v>1399</v>
      </c>
      <c r="D1529" t="str">
        <f t="shared" si="23"/>
        <v>xlsx</v>
      </c>
    </row>
    <row r="1530" spans="1:4" x14ac:dyDescent="0.25">
      <c r="A1530" t="s">
        <v>1400</v>
      </c>
      <c r="B1530" t="s">
        <v>2229</v>
      </c>
      <c r="C1530" t="s">
        <v>1401</v>
      </c>
      <c r="D1530" t="str">
        <f t="shared" si="23"/>
        <v>docx</v>
      </c>
    </row>
    <row r="1531" spans="1:4" x14ac:dyDescent="0.25">
      <c r="A1531" t="s">
        <v>1400</v>
      </c>
      <c r="B1531" t="s">
        <v>2229</v>
      </c>
      <c r="C1531" t="s">
        <v>1402</v>
      </c>
      <c r="D1531" t="str">
        <f t="shared" si="23"/>
        <v>docx</v>
      </c>
    </row>
    <row r="1532" spans="1:4" x14ac:dyDescent="0.25">
      <c r="A1532" t="s">
        <v>1400</v>
      </c>
      <c r="B1532" t="s">
        <v>2229</v>
      </c>
      <c r="C1532" t="s">
        <v>1403</v>
      </c>
      <c r="D1532" t="str">
        <f t="shared" si="23"/>
        <v>las</v>
      </c>
    </row>
    <row r="1533" spans="1:4" x14ac:dyDescent="0.25">
      <c r="A1533" t="s">
        <v>1400</v>
      </c>
      <c r="B1533" t="s">
        <v>2229</v>
      </c>
      <c r="C1533" t="s">
        <v>1404</v>
      </c>
      <c r="D1533" t="str">
        <f t="shared" si="23"/>
        <v>las</v>
      </c>
    </row>
    <row r="1534" spans="1:4" x14ac:dyDescent="0.25">
      <c r="A1534" t="s">
        <v>1400</v>
      </c>
      <c r="B1534" t="s">
        <v>2229</v>
      </c>
      <c r="C1534" t="s">
        <v>1405</v>
      </c>
      <c r="D1534" t="str">
        <f t="shared" si="23"/>
        <v>tif</v>
      </c>
    </row>
    <row r="1535" spans="1:4" x14ac:dyDescent="0.25">
      <c r="A1535" t="s">
        <v>1400</v>
      </c>
      <c r="B1535" t="s">
        <v>2229</v>
      </c>
      <c r="C1535" t="s">
        <v>1406</v>
      </c>
      <c r="D1535" t="str">
        <f t="shared" si="23"/>
        <v>tif</v>
      </c>
    </row>
    <row r="1536" spans="1:4" x14ac:dyDescent="0.25">
      <c r="A1536" t="s">
        <v>1400</v>
      </c>
      <c r="B1536" t="s">
        <v>2229</v>
      </c>
      <c r="C1536" t="s">
        <v>32</v>
      </c>
      <c r="D1536" t="str">
        <f t="shared" si="23"/>
        <v>db</v>
      </c>
    </row>
    <row r="1537" spans="1:4" x14ac:dyDescent="0.25">
      <c r="A1537" t="s">
        <v>1407</v>
      </c>
      <c r="B1537" t="s">
        <v>2229</v>
      </c>
      <c r="C1537" t="s">
        <v>1408</v>
      </c>
      <c r="D1537" t="str">
        <f t="shared" si="23"/>
        <v>las</v>
      </c>
    </row>
    <row r="1538" spans="1:4" x14ac:dyDescent="0.25">
      <c r="A1538" t="s">
        <v>1407</v>
      </c>
      <c r="B1538" t="s">
        <v>2229</v>
      </c>
      <c r="C1538" t="s">
        <v>1409</v>
      </c>
      <c r="D1538" t="str">
        <f t="shared" si="23"/>
        <v>las</v>
      </c>
    </row>
    <row r="1539" spans="1:4" x14ac:dyDescent="0.25">
      <c r="A1539" t="s">
        <v>1407</v>
      </c>
      <c r="B1539" t="s">
        <v>2229</v>
      </c>
      <c r="C1539" t="s">
        <v>1410</v>
      </c>
      <c r="D1539" t="str">
        <f t="shared" ref="D1539:D1602" si="24">IF(ISNUMBER(SEARCH(".pdf",C1539)),"pdf",IF(ISNUMBER(SEARCH(".tif",C1539)),"tif",IF(ISNUMBER(SEARCH(".las",C1539)),"las",IF(ISNUMBER(SEARCH(".sdg",C1539)),"sdg",IF(ISNUMBER(SEARCH(".xlsx",C1539)),"xlsx",IF(ISNUMBER(SEARCH(".docx",C1539)),"docx",IF(ISNUMBER(SEARCH(".rhistory",C1539)),"rhistory",IF(ISNUMBER(SEARCH(".db",C1539)),"db",IF(ISNUMBER(SEARCH(".jpg",C1539)),"jpg",IF(ISNUMBER(SEARCH(".png",C1539)),"png",IF(ISNUMBER(SEARCH(".mdb",C1539)),"mdb",IF(ISNUMBER(SEARCH(".xml",C1539)),"xml",IF(ISNUMBER(SEARCH(".xls",C1539)),"xls",IF(ISNUMBER(SEARCH(".txt",C1539)),"txt",IF(ISNUMBER(SEARCH(".tsf",C1539)),"tsf",IF(ISNUMBER(SEARCH(".sch",C1539)),"sch","ZIP oder R"))))))))))))))))</f>
        <v>las</v>
      </c>
    </row>
    <row r="1540" spans="1:4" x14ac:dyDescent="0.25">
      <c r="A1540" t="s">
        <v>1407</v>
      </c>
      <c r="B1540" t="s">
        <v>2229</v>
      </c>
      <c r="C1540" t="s">
        <v>1411</v>
      </c>
      <c r="D1540" t="str">
        <f t="shared" si="24"/>
        <v>las</v>
      </c>
    </row>
    <row r="1541" spans="1:4" x14ac:dyDescent="0.25">
      <c r="A1541" t="s">
        <v>1407</v>
      </c>
      <c r="B1541" t="s">
        <v>2229</v>
      </c>
      <c r="C1541" t="s">
        <v>1412</v>
      </c>
      <c r="D1541" t="str">
        <f t="shared" si="24"/>
        <v>las</v>
      </c>
    </row>
    <row r="1542" spans="1:4" x14ac:dyDescent="0.25">
      <c r="A1542" t="s">
        <v>1407</v>
      </c>
      <c r="B1542" t="s">
        <v>2229</v>
      </c>
      <c r="C1542" t="s">
        <v>1413</v>
      </c>
      <c r="D1542" t="str">
        <f t="shared" si="24"/>
        <v>las</v>
      </c>
    </row>
    <row r="1543" spans="1:4" x14ac:dyDescent="0.25">
      <c r="A1543" t="s">
        <v>1414</v>
      </c>
      <c r="B1543" t="s">
        <v>2230</v>
      </c>
      <c r="C1543" t="s">
        <v>1415</v>
      </c>
      <c r="D1543" t="str">
        <f t="shared" si="24"/>
        <v>tif</v>
      </c>
    </row>
    <row r="1544" spans="1:4" x14ac:dyDescent="0.25">
      <c r="A1544" t="s">
        <v>1414</v>
      </c>
      <c r="B1544" t="s">
        <v>2230</v>
      </c>
      <c r="C1544" t="s">
        <v>1416</v>
      </c>
      <c r="D1544" t="str">
        <f t="shared" si="24"/>
        <v>tif</v>
      </c>
    </row>
    <row r="1545" spans="1:4" x14ac:dyDescent="0.25">
      <c r="A1545" t="s">
        <v>1417</v>
      </c>
      <c r="B1545" t="s">
        <v>2231</v>
      </c>
      <c r="C1545" t="s">
        <v>1418</v>
      </c>
      <c r="D1545" t="str">
        <f t="shared" si="24"/>
        <v>tif</v>
      </c>
    </row>
    <row r="1546" spans="1:4" x14ac:dyDescent="0.25">
      <c r="A1546" t="s">
        <v>1417</v>
      </c>
      <c r="B1546" t="s">
        <v>2231</v>
      </c>
      <c r="C1546" t="s">
        <v>1419</v>
      </c>
      <c r="D1546" t="str">
        <f t="shared" si="24"/>
        <v>tif</v>
      </c>
    </row>
    <row r="1547" spans="1:4" x14ac:dyDescent="0.25">
      <c r="A1547" t="s">
        <v>1417</v>
      </c>
      <c r="B1547" t="s">
        <v>2231</v>
      </c>
      <c r="C1547" t="s">
        <v>1420</v>
      </c>
      <c r="D1547" t="str">
        <f t="shared" si="24"/>
        <v>tif</v>
      </c>
    </row>
    <row r="1548" spans="1:4" x14ac:dyDescent="0.25">
      <c r="A1548" t="s">
        <v>1417</v>
      </c>
      <c r="B1548" t="s">
        <v>2231</v>
      </c>
      <c r="C1548" t="s">
        <v>1421</v>
      </c>
      <c r="D1548" t="str">
        <f t="shared" si="24"/>
        <v>tif</v>
      </c>
    </row>
    <row r="1549" spans="1:4" x14ac:dyDescent="0.25">
      <c r="A1549" t="s">
        <v>1417</v>
      </c>
      <c r="B1549" t="s">
        <v>2231</v>
      </c>
      <c r="C1549" t="s">
        <v>1422</v>
      </c>
      <c r="D1549" t="str">
        <f t="shared" si="24"/>
        <v>tif</v>
      </c>
    </row>
    <row r="1550" spans="1:4" x14ac:dyDescent="0.25">
      <c r="A1550" t="s">
        <v>1417</v>
      </c>
      <c r="B1550" t="s">
        <v>2231</v>
      </c>
      <c r="C1550" t="s">
        <v>1423</v>
      </c>
      <c r="D1550" t="str">
        <f t="shared" si="24"/>
        <v>tif</v>
      </c>
    </row>
    <row r="1551" spans="1:4" x14ac:dyDescent="0.25">
      <c r="A1551" t="s">
        <v>1417</v>
      </c>
      <c r="B1551" t="s">
        <v>2231</v>
      </c>
      <c r="C1551" t="s">
        <v>1424</v>
      </c>
      <c r="D1551" t="str">
        <f t="shared" si="24"/>
        <v>tif</v>
      </c>
    </row>
    <row r="1552" spans="1:4" x14ac:dyDescent="0.25">
      <c r="A1552" t="s">
        <v>1417</v>
      </c>
      <c r="B1552" t="s">
        <v>2231</v>
      </c>
      <c r="C1552" t="s">
        <v>1425</v>
      </c>
      <c r="D1552" t="str">
        <f t="shared" si="24"/>
        <v>tif</v>
      </c>
    </row>
    <row r="1553" spans="1:4" x14ac:dyDescent="0.25">
      <c r="A1553" t="s">
        <v>1417</v>
      </c>
      <c r="B1553" t="s">
        <v>2231</v>
      </c>
      <c r="C1553" t="s">
        <v>1426</v>
      </c>
      <c r="D1553" t="str">
        <f t="shared" si="24"/>
        <v>tif</v>
      </c>
    </row>
    <row r="1554" spans="1:4" x14ac:dyDescent="0.25">
      <c r="A1554" t="s">
        <v>1417</v>
      </c>
      <c r="B1554" t="s">
        <v>2231</v>
      </c>
      <c r="C1554" t="s">
        <v>1427</v>
      </c>
      <c r="D1554" t="str">
        <f t="shared" si="24"/>
        <v>pdf</v>
      </c>
    </row>
    <row r="1555" spans="1:4" x14ac:dyDescent="0.25">
      <c r="A1555" t="s">
        <v>1428</v>
      </c>
      <c r="B1555" t="s">
        <v>2232</v>
      </c>
      <c r="C1555" t="s">
        <v>1429</v>
      </c>
      <c r="D1555" t="str">
        <f t="shared" si="24"/>
        <v>pdf</v>
      </c>
    </row>
    <row r="1556" spans="1:4" x14ac:dyDescent="0.25">
      <c r="A1556" t="s">
        <v>1430</v>
      </c>
      <c r="B1556" t="s">
        <v>2233</v>
      </c>
      <c r="C1556" t="s">
        <v>1431</v>
      </c>
      <c r="D1556" t="str">
        <f t="shared" si="24"/>
        <v>las</v>
      </c>
    </row>
    <row r="1557" spans="1:4" x14ac:dyDescent="0.25">
      <c r="A1557" t="s">
        <v>1430</v>
      </c>
      <c r="B1557" t="s">
        <v>2233</v>
      </c>
      <c r="C1557" t="s">
        <v>1432</v>
      </c>
      <c r="D1557" t="str">
        <f t="shared" si="24"/>
        <v>sdg</v>
      </c>
    </row>
    <row r="1558" spans="1:4" x14ac:dyDescent="0.25">
      <c r="A1558" t="s">
        <v>1430</v>
      </c>
      <c r="B1558" t="s">
        <v>2233</v>
      </c>
      <c r="C1558" t="s">
        <v>1433</v>
      </c>
      <c r="D1558" t="str">
        <f t="shared" si="24"/>
        <v>xlsx</v>
      </c>
    </row>
    <row r="1559" spans="1:4" x14ac:dyDescent="0.25">
      <c r="A1559" t="s">
        <v>1434</v>
      </c>
      <c r="B1559" t="s">
        <v>2234</v>
      </c>
      <c r="C1559" t="s">
        <v>1435</v>
      </c>
      <c r="D1559" t="str">
        <f t="shared" si="24"/>
        <v>pdf</v>
      </c>
    </row>
    <row r="1560" spans="1:4" x14ac:dyDescent="0.25">
      <c r="A1560" t="s">
        <v>1434</v>
      </c>
      <c r="B1560" t="s">
        <v>2234</v>
      </c>
      <c r="C1560" t="s">
        <v>1436</v>
      </c>
      <c r="D1560" t="str">
        <f t="shared" si="24"/>
        <v>pdf</v>
      </c>
    </row>
    <row r="1561" spans="1:4" x14ac:dyDescent="0.25">
      <c r="A1561" t="s">
        <v>1434</v>
      </c>
      <c r="B1561" t="s">
        <v>2234</v>
      </c>
      <c r="C1561" t="s">
        <v>1437</v>
      </c>
      <c r="D1561" t="str">
        <f t="shared" si="24"/>
        <v>pdf</v>
      </c>
    </row>
    <row r="1562" spans="1:4" x14ac:dyDescent="0.25">
      <c r="A1562" t="s">
        <v>1434</v>
      </c>
      <c r="B1562" t="s">
        <v>2234</v>
      </c>
      <c r="C1562" t="s">
        <v>1438</v>
      </c>
      <c r="D1562" t="str">
        <f t="shared" si="24"/>
        <v>pdf</v>
      </c>
    </row>
    <row r="1563" spans="1:4" x14ac:dyDescent="0.25">
      <c r="A1563" t="s">
        <v>1434</v>
      </c>
      <c r="B1563" t="s">
        <v>2234</v>
      </c>
      <c r="C1563" t="s">
        <v>1439</v>
      </c>
      <c r="D1563" t="str">
        <f t="shared" si="24"/>
        <v>pdf</v>
      </c>
    </row>
    <row r="1564" spans="1:4" x14ac:dyDescent="0.25">
      <c r="A1564" t="s">
        <v>1434</v>
      </c>
      <c r="B1564" t="s">
        <v>2234</v>
      </c>
      <c r="C1564" t="s">
        <v>1440</v>
      </c>
      <c r="D1564" t="str">
        <f t="shared" si="24"/>
        <v>pdf</v>
      </c>
    </row>
    <row r="1565" spans="1:4" x14ac:dyDescent="0.25">
      <c r="A1565" t="s">
        <v>1434</v>
      </c>
      <c r="B1565" t="s">
        <v>2234</v>
      </c>
      <c r="C1565" t="s">
        <v>1441</v>
      </c>
      <c r="D1565" t="str">
        <f t="shared" si="24"/>
        <v>pdf</v>
      </c>
    </row>
    <row r="1566" spans="1:4" x14ac:dyDescent="0.25">
      <c r="A1566" t="s">
        <v>1434</v>
      </c>
      <c r="B1566" t="s">
        <v>2234</v>
      </c>
      <c r="C1566" t="s">
        <v>1442</v>
      </c>
      <c r="D1566" t="str">
        <f t="shared" si="24"/>
        <v>pdf</v>
      </c>
    </row>
    <row r="1567" spans="1:4" x14ac:dyDescent="0.25">
      <c r="A1567" t="s">
        <v>1434</v>
      </c>
      <c r="B1567" t="s">
        <v>2234</v>
      </c>
      <c r="C1567" t="s">
        <v>1443</v>
      </c>
      <c r="D1567" t="str">
        <f t="shared" si="24"/>
        <v>pdf</v>
      </c>
    </row>
    <row r="1568" spans="1:4" x14ac:dyDescent="0.25">
      <c r="A1568" t="s">
        <v>1434</v>
      </c>
      <c r="B1568" t="s">
        <v>2234</v>
      </c>
      <c r="C1568" t="s">
        <v>1444</v>
      </c>
      <c r="D1568" t="str">
        <f t="shared" si="24"/>
        <v>pdf</v>
      </c>
    </row>
    <row r="1569" spans="1:4" x14ac:dyDescent="0.25">
      <c r="A1569" t="s">
        <v>1434</v>
      </c>
      <c r="B1569" t="s">
        <v>2234</v>
      </c>
      <c r="C1569" t="s">
        <v>1445</v>
      </c>
      <c r="D1569" t="str">
        <f t="shared" si="24"/>
        <v>pdf</v>
      </c>
    </row>
    <row r="1570" spans="1:4" x14ac:dyDescent="0.25">
      <c r="A1570" t="s">
        <v>1434</v>
      </c>
      <c r="B1570" t="s">
        <v>2234</v>
      </c>
      <c r="C1570" t="s">
        <v>1446</v>
      </c>
      <c r="D1570" t="str">
        <f t="shared" si="24"/>
        <v>pdf</v>
      </c>
    </row>
    <row r="1571" spans="1:4" x14ac:dyDescent="0.25">
      <c r="A1571" t="s">
        <v>1434</v>
      </c>
      <c r="B1571" t="s">
        <v>2234</v>
      </c>
      <c r="C1571" t="s">
        <v>1447</v>
      </c>
      <c r="D1571" t="str">
        <f t="shared" si="24"/>
        <v>pdf</v>
      </c>
    </row>
    <row r="1572" spans="1:4" x14ac:dyDescent="0.25">
      <c r="A1572" t="s">
        <v>1434</v>
      </c>
      <c r="B1572" t="s">
        <v>2234</v>
      </c>
      <c r="C1572" t="s">
        <v>1448</v>
      </c>
      <c r="D1572" t="str">
        <f t="shared" si="24"/>
        <v>pdf</v>
      </c>
    </row>
    <row r="1573" spans="1:4" x14ac:dyDescent="0.25">
      <c r="A1573" t="s">
        <v>1434</v>
      </c>
      <c r="B1573" t="s">
        <v>2234</v>
      </c>
      <c r="C1573" t="s">
        <v>1449</v>
      </c>
      <c r="D1573" t="str">
        <f t="shared" si="24"/>
        <v>pdf</v>
      </c>
    </row>
    <row r="1574" spans="1:4" x14ac:dyDescent="0.25">
      <c r="A1574" t="s">
        <v>1434</v>
      </c>
      <c r="B1574" t="s">
        <v>2234</v>
      </c>
      <c r="C1574" t="s">
        <v>1450</v>
      </c>
      <c r="D1574" t="str">
        <f t="shared" si="24"/>
        <v>pdf</v>
      </c>
    </row>
    <row r="1575" spans="1:4" x14ac:dyDescent="0.25">
      <c r="A1575" t="s">
        <v>1434</v>
      </c>
      <c r="B1575" t="s">
        <v>2234</v>
      </c>
      <c r="C1575" t="s">
        <v>1451</v>
      </c>
      <c r="D1575" t="str">
        <f t="shared" si="24"/>
        <v>pdf</v>
      </c>
    </row>
    <row r="1576" spans="1:4" x14ac:dyDescent="0.25">
      <c r="A1576" t="s">
        <v>1434</v>
      </c>
      <c r="B1576" t="s">
        <v>2234</v>
      </c>
      <c r="C1576" t="s">
        <v>1452</v>
      </c>
      <c r="D1576" t="str">
        <f t="shared" si="24"/>
        <v>pdf</v>
      </c>
    </row>
    <row r="1577" spans="1:4" x14ac:dyDescent="0.25">
      <c r="A1577" t="s">
        <v>1434</v>
      </c>
      <c r="B1577" t="s">
        <v>2234</v>
      </c>
      <c r="C1577" t="s">
        <v>1453</v>
      </c>
      <c r="D1577" t="str">
        <f t="shared" si="24"/>
        <v>pdf</v>
      </c>
    </row>
    <row r="1578" spans="1:4" x14ac:dyDescent="0.25">
      <c r="A1578" t="s">
        <v>1434</v>
      </c>
      <c r="B1578" t="s">
        <v>2234</v>
      </c>
      <c r="C1578" t="s">
        <v>1454</v>
      </c>
      <c r="D1578" t="str">
        <f t="shared" si="24"/>
        <v>pdf</v>
      </c>
    </row>
    <row r="1579" spans="1:4" x14ac:dyDescent="0.25">
      <c r="A1579" t="s">
        <v>1434</v>
      </c>
      <c r="B1579" t="s">
        <v>2234</v>
      </c>
      <c r="C1579" t="s">
        <v>1455</v>
      </c>
      <c r="D1579" t="str">
        <f t="shared" si="24"/>
        <v>pdf</v>
      </c>
    </row>
    <row r="1580" spans="1:4" x14ac:dyDescent="0.25">
      <c r="A1580" t="s">
        <v>1434</v>
      </c>
      <c r="B1580" t="s">
        <v>2234</v>
      </c>
      <c r="C1580" t="s">
        <v>1456</v>
      </c>
      <c r="D1580" t="str">
        <f t="shared" si="24"/>
        <v>pdf</v>
      </c>
    </row>
    <row r="1581" spans="1:4" x14ac:dyDescent="0.25">
      <c r="A1581" t="s">
        <v>1434</v>
      </c>
      <c r="B1581" t="s">
        <v>2234</v>
      </c>
      <c r="C1581" t="s">
        <v>1457</v>
      </c>
      <c r="D1581" t="str">
        <f t="shared" si="24"/>
        <v>pdf</v>
      </c>
    </row>
    <row r="1582" spans="1:4" x14ac:dyDescent="0.25">
      <c r="A1582" t="s">
        <v>1458</v>
      </c>
      <c r="B1582" t="s">
        <v>2235</v>
      </c>
      <c r="C1582" t="s">
        <v>1459</v>
      </c>
      <c r="D1582" t="str">
        <f t="shared" si="24"/>
        <v>pdf</v>
      </c>
    </row>
    <row r="1583" spans="1:4" x14ac:dyDescent="0.25">
      <c r="A1583" t="s">
        <v>1460</v>
      </c>
      <c r="B1583" t="s">
        <v>2236</v>
      </c>
      <c r="C1583" t="s">
        <v>1461</v>
      </c>
      <c r="D1583" t="str">
        <f t="shared" si="24"/>
        <v>las</v>
      </c>
    </row>
    <row r="1584" spans="1:4" x14ac:dyDescent="0.25">
      <c r="A1584" t="s">
        <v>1460</v>
      </c>
      <c r="B1584" t="s">
        <v>2236</v>
      </c>
      <c r="C1584" t="s">
        <v>1462</v>
      </c>
      <c r="D1584" t="str">
        <f t="shared" si="24"/>
        <v>las</v>
      </c>
    </row>
    <row r="1585" spans="1:4" x14ac:dyDescent="0.25">
      <c r="A1585" t="s">
        <v>1460</v>
      </c>
      <c r="B1585" t="s">
        <v>2236</v>
      </c>
      <c r="C1585" t="s">
        <v>1463</v>
      </c>
      <c r="D1585" t="str">
        <f t="shared" si="24"/>
        <v>sdg</v>
      </c>
    </row>
    <row r="1586" spans="1:4" x14ac:dyDescent="0.25">
      <c r="A1586" t="s">
        <v>1460</v>
      </c>
      <c r="B1586" t="s">
        <v>2236</v>
      </c>
      <c r="C1586" t="s">
        <v>1464</v>
      </c>
      <c r="D1586" t="str">
        <f t="shared" si="24"/>
        <v>xlsx</v>
      </c>
    </row>
    <row r="1587" spans="1:4" x14ac:dyDescent="0.25">
      <c r="A1587" t="s">
        <v>1460</v>
      </c>
      <c r="B1587" t="s">
        <v>2236</v>
      </c>
      <c r="C1587" t="s">
        <v>1465</v>
      </c>
      <c r="D1587" t="str">
        <f t="shared" si="24"/>
        <v>pdf</v>
      </c>
    </row>
    <row r="1588" spans="1:4" x14ac:dyDescent="0.25">
      <c r="A1588" t="s">
        <v>1466</v>
      </c>
      <c r="B1588" t="s">
        <v>2237</v>
      </c>
      <c r="C1588" t="s">
        <v>1467</v>
      </c>
      <c r="D1588" t="str">
        <f t="shared" si="24"/>
        <v>las</v>
      </c>
    </row>
    <row r="1589" spans="1:4" x14ac:dyDescent="0.25">
      <c r="A1589" t="s">
        <v>1466</v>
      </c>
      <c r="B1589" t="s">
        <v>2237</v>
      </c>
      <c r="C1589" t="s">
        <v>1468</v>
      </c>
      <c r="D1589" t="str">
        <f t="shared" si="24"/>
        <v>las</v>
      </c>
    </row>
    <row r="1590" spans="1:4" x14ac:dyDescent="0.25">
      <c r="A1590" t="s">
        <v>1466</v>
      </c>
      <c r="B1590" t="s">
        <v>2237</v>
      </c>
      <c r="C1590" t="s">
        <v>1469</v>
      </c>
      <c r="D1590" t="str">
        <f t="shared" si="24"/>
        <v>sdg</v>
      </c>
    </row>
    <row r="1591" spans="1:4" x14ac:dyDescent="0.25">
      <c r="A1591" t="s">
        <v>1466</v>
      </c>
      <c r="B1591" t="s">
        <v>2237</v>
      </c>
      <c r="C1591" t="s">
        <v>1470</v>
      </c>
      <c r="D1591" t="str">
        <f t="shared" si="24"/>
        <v>xlsx</v>
      </c>
    </row>
    <row r="1592" spans="1:4" x14ac:dyDescent="0.25">
      <c r="A1592" t="s">
        <v>1471</v>
      </c>
      <c r="B1592" t="s">
        <v>2238</v>
      </c>
      <c r="C1592" t="s">
        <v>1472</v>
      </c>
      <c r="D1592" t="str">
        <f t="shared" si="24"/>
        <v>pdf</v>
      </c>
    </row>
    <row r="1593" spans="1:4" x14ac:dyDescent="0.25">
      <c r="A1593" t="s">
        <v>1471</v>
      </c>
      <c r="B1593" t="s">
        <v>2238</v>
      </c>
      <c r="C1593" t="s">
        <v>1473</v>
      </c>
      <c r="D1593" t="str">
        <f t="shared" si="24"/>
        <v>jpg</v>
      </c>
    </row>
    <row r="1594" spans="1:4" x14ac:dyDescent="0.25">
      <c r="A1594" t="s">
        <v>1471</v>
      </c>
      <c r="B1594" t="s">
        <v>2238</v>
      </c>
      <c r="C1594" t="s">
        <v>1474</v>
      </c>
      <c r="D1594" t="str">
        <f t="shared" si="24"/>
        <v>jpg</v>
      </c>
    </row>
    <row r="1595" spans="1:4" x14ac:dyDescent="0.25">
      <c r="A1595" t="s">
        <v>1471</v>
      </c>
      <c r="B1595" t="s">
        <v>2238</v>
      </c>
      <c r="C1595" t="s">
        <v>1475</v>
      </c>
      <c r="D1595" t="str">
        <f t="shared" si="24"/>
        <v>jpg</v>
      </c>
    </row>
    <row r="1596" spans="1:4" x14ac:dyDescent="0.25">
      <c r="A1596" t="s">
        <v>1471</v>
      </c>
      <c r="B1596" t="s">
        <v>2238</v>
      </c>
      <c r="C1596" t="s">
        <v>1476</v>
      </c>
      <c r="D1596" t="str">
        <f t="shared" si="24"/>
        <v>jpg</v>
      </c>
    </row>
    <row r="1597" spans="1:4" x14ac:dyDescent="0.25">
      <c r="A1597" t="s">
        <v>1471</v>
      </c>
      <c r="B1597" t="s">
        <v>2238</v>
      </c>
      <c r="C1597" t="s">
        <v>1477</v>
      </c>
      <c r="D1597" t="str">
        <f t="shared" si="24"/>
        <v>jpg</v>
      </c>
    </row>
    <row r="1598" spans="1:4" x14ac:dyDescent="0.25">
      <c r="A1598" t="s">
        <v>1471</v>
      </c>
      <c r="B1598" t="s">
        <v>2238</v>
      </c>
      <c r="C1598" t="s">
        <v>1478</v>
      </c>
      <c r="D1598" t="str">
        <f t="shared" si="24"/>
        <v>pdf</v>
      </c>
    </row>
    <row r="1599" spans="1:4" x14ac:dyDescent="0.25">
      <c r="A1599" t="s">
        <v>1471</v>
      </c>
      <c r="B1599" t="s">
        <v>2238</v>
      </c>
      <c r="C1599" t="s">
        <v>1479</v>
      </c>
      <c r="D1599" t="str">
        <f t="shared" si="24"/>
        <v>pdf</v>
      </c>
    </row>
    <row r="1600" spans="1:4" x14ac:dyDescent="0.25">
      <c r="A1600" t="s">
        <v>1480</v>
      </c>
      <c r="B1600" t="s">
        <v>2239</v>
      </c>
      <c r="C1600" t="s">
        <v>1481</v>
      </c>
      <c r="D1600" t="str">
        <f t="shared" si="24"/>
        <v>pdf</v>
      </c>
    </row>
    <row r="1601" spans="1:4" x14ac:dyDescent="0.25">
      <c r="A1601" t="s">
        <v>1480</v>
      </c>
      <c r="B1601" t="s">
        <v>2239</v>
      </c>
      <c r="C1601" t="s">
        <v>1482</v>
      </c>
      <c r="D1601" t="str">
        <f t="shared" si="24"/>
        <v>jpg</v>
      </c>
    </row>
    <row r="1602" spans="1:4" x14ac:dyDescent="0.25">
      <c r="A1602" t="s">
        <v>1480</v>
      </c>
      <c r="B1602" t="s">
        <v>2239</v>
      </c>
      <c r="C1602" t="s">
        <v>1483</v>
      </c>
      <c r="D1602" t="str">
        <f t="shared" si="24"/>
        <v>jpg</v>
      </c>
    </row>
    <row r="1603" spans="1:4" x14ac:dyDescent="0.25">
      <c r="A1603" t="s">
        <v>1480</v>
      </c>
      <c r="B1603" t="s">
        <v>2239</v>
      </c>
      <c r="C1603" t="s">
        <v>1484</v>
      </c>
      <c r="D1603" t="str">
        <f t="shared" ref="D1603:D1666" si="25">IF(ISNUMBER(SEARCH(".pdf",C1603)),"pdf",IF(ISNUMBER(SEARCH(".tif",C1603)),"tif",IF(ISNUMBER(SEARCH(".las",C1603)),"las",IF(ISNUMBER(SEARCH(".sdg",C1603)),"sdg",IF(ISNUMBER(SEARCH(".xlsx",C1603)),"xlsx",IF(ISNUMBER(SEARCH(".docx",C1603)),"docx",IF(ISNUMBER(SEARCH(".rhistory",C1603)),"rhistory",IF(ISNUMBER(SEARCH(".db",C1603)),"db",IF(ISNUMBER(SEARCH(".jpg",C1603)),"jpg",IF(ISNUMBER(SEARCH(".png",C1603)),"png",IF(ISNUMBER(SEARCH(".mdb",C1603)),"mdb",IF(ISNUMBER(SEARCH(".xml",C1603)),"xml",IF(ISNUMBER(SEARCH(".xls",C1603)),"xls",IF(ISNUMBER(SEARCH(".txt",C1603)),"txt",IF(ISNUMBER(SEARCH(".tsf",C1603)),"tsf",IF(ISNUMBER(SEARCH(".sch",C1603)),"sch","ZIP oder R"))))))))))))))))</f>
        <v>jpg</v>
      </c>
    </row>
    <row r="1604" spans="1:4" x14ac:dyDescent="0.25">
      <c r="A1604" t="s">
        <v>1480</v>
      </c>
      <c r="B1604" t="s">
        <v>2239</v>
      </c>
      <c r="C1604" t="s">
        <v>1485</v>
      </c>
      <c r="D1604" t="str">
        <f t="shared" si="25"/>
        <v>jpg</v>
      </c>
    </row>
    <row r="1605" spans="1:4" x14ac:dyDescent="0.25">
      <c r="A1605" t="s">
        <v>1480</v>
      </c>
      <c r="B1605" t="s">
        <v>2239</v>
      </c>
      <c r="C1605" t="s">
        <v>1486</v>
      </c>
      <c r="D1605" t="str">
        <f t="shared" si="25"/>
        <v>jpg</v>
      </c>
    </row>
    <row r="1606" spans="1:4" x14ac:dyDescent="0.25">
      <c r="A1606" t="s">
        <v>1480</v>
      </c>
      <c r="B1606" t="s">
        <v>2239</v>
      </c>
      <c r="C1606" t="s">
        <v>1487</v>
      </c>
      <c r="D1606" t="str">
        <f t="shared" si="25"/>
        <v>jpg</v>
      </c>
    </row>
    <row r="1607" spans="1:4" x14ac:dyDescent="0.25">
      <c r="A1607" t="s">
        <v>1480</v>
      </c>
      <c r="B1607" t="s">
        <v>2239</v>
      </c>
      <c r="C1607" t="s">
        <v>1488</v>
      </c>
      <c r="D1607" t="str">
        <f t="shared" si="25"/>
        <v>pdf</v>
      </c>
    </row>
    <row r="1608" spans="1:4" x14ac:dyDescent="0.25">
      <c r="A1608" t="s">
        <v>1489</v>
      </c>
      <c r="B1608" t="s">
        <v>2240</v>
      </c>
      <c r="C1608" t="s">
        <v>1490</v>
      </c>
      <c r="D1608" t="str">
        <f t="shared" si="25"/>
        <v>las</v>
      </c>
    </row>
    <row r="1609" spans="1:4" x14ac:dyDescent="0.25">
      <c r="A1609" t="s">
        <v>1489</v>
      </c>
      <c r="B1609" t="s">
        <v>2240</v>
      </c>
      <c r="C1609" t="s">
        <v>1491</v>
      </c>
      <c r="D1609" t="str">
        <f t="shared" si="25"/>
        <v>pdf</v>
      </c>
    </row>
    <row r="1610" spans="1:4" x14ac:dyDescent="0.25">
      <c r="A1610" t="s">
        <v>1489</v>
      </c>
      <c r="B1610" t="s">
        <v>2240</v>
      </c>
      <c r="C1610" t="s">
        <v>1492</v>
      </c>
      <c r="D1610" t="str">
        <f t="shared" si="25"/>
        <v>pdf</v>
      </c>
    </row>
    <row r="1611" spans="1:4" x14ac:dyDescent="0.25">
      <c r="A1611" t="s">
        <v>1489</v>
      </c>
      <c r="B1611" t="s">
        <v>2240</v>
      </c>
      <c r="C1611" t="s">
        <v>1493</v>
      </c>
      <c r="D1611" t="str">
        <f t="shared" si="25"/>
        <v>pdf</v>
      </c>
    </row>
    <row r="1612" spans="1:4" x14ac:dyDescent="0.25">
      <c r="A1612" t="s">
        <v>1489</v>
      </c>
      <c r="B1612" t="s">
        <v>2240</v>
      </c>
      <c r="C1612" t="s">
        <v>1494</v>
      </c>
      <c r="D1612" t="str">
        <f t="shared" si="25"/>
        <v>pdf</v>
      </c>
    </row>
    <row r="1613" spans="1:4" x14ac:dyDescent="0.25">
      <c r="A1613" t="s">
        <v>1489</v>
      </c>
      <c r="B1613" t="s">
        <v>2240</v>
      </c>
      <c r="C1613" t="s">
        <v>1495</v>
      </c>
      <c r="D1613" t="str">
        <f t="shared" si="25"/>
        <v>sdg</v>
      </c>
    </row>
    <row r="1614" spans="1:4" x14ac:dyDescent="0.25">
      <c r="A1614" t="s">
        <v>1489</v>
      </c>
      <c r="B1614" t="s">
        <v>2240</v>
      </c>
      <c r="C1614" t="s">
        <v>1496</v>
      </c>
      <c r="D1614" t="str">
        <f t="shared" si="25"/>
        <v>xlsx</v>
      </c>
    </row>
    <row r="1615" spans="1:4" x14ac:dyDescent="0.25">
      <c r="A1615" t="s">
        <v>1497</v>
      </c>
      <c r="B1615" t="s">
        <v>2291</v>
      </c>
      <c r="C1615" t="s">
        <v>1498</v>
      </c>
      <c r="D1615" t="str">
        <f t="shared" si="25"/>
        <v>txt</v>
      </c>
    </row>
    <row r="1616" spans="1:4" x14ac:dyDescent="0.25">
      <c r="A1616" t="s">
        <v>1497</v>
      </c>
      <c r="B1616" t="s">
        <v>2291</v>
      </c>
      <c r="C1616" t="s">
        <v>1499</v>
      </c>
      <c r="D1616" t="str">
        <f t="shared" si="25"/>
        <v>xlsx</v>
      </c>
    </row>
    <row r="1617" spans="1:4" x14ac:dyDescent="0.25">
      <c r="A1617" t="s">
        <v>1500</v>
      </c>
      <c r="B1617" t="s">
        <v>2291</v>
      </c>
      <c r="C1617" t="s">
        <v>1055</v>
      </c>
      <c r="D1617" t="str">
        <f t="shared" si="25"/>
        <v>las</v>
      </c>
    </row>
    <row r="1618" spans="1:4" x14ac:dyDescent="0.25">
      <c r="A1618" t="s">
        <v>1500</v>
      </c>
      <c r="B1618" t="s">
        <v>2291</v>
      </c>
      <c r="C1618" t="s">
        <v>1056</v>
      </c>
      <c r="D1618" t="str">
        <f t="shared" si="25"/>
        <v>las</v>
      </c>
    </row>
    <row r="1619" spans="1:4" x14ac:dyDescent="0.25">
      <c r="A1619" t="s">
        <v>1500</v>
      </c>
      <c r="B1619" t="s">
        <v>2291</v>
      </c>
      <c r="C1619" t="s">
        <v>1058</v>
      </c>
      <c r="D1619" t="str">
        <f t="shared" si="25"/>
        <v>pdf</v>
      </c>
    </row>
    <row r="1620" spans="1:4" x14ac:dyDescent="0.25">
      <c r="A1620" t="s">
        <v>1500</v>
      </c>
      <c r="B1620" t="s">
        <v>2291</v>
      </c>
      <c r="C1620" t="s">
        <v>1059</v>
      </c>
      <c r="D1620" t="str">
        <f t="shared" si="25"/>
        <v>pdf</v>
      </c>
    </row>
    <row r="1621" spans="1:4" x14ac:dyDescent="0.25">
      <c r="A1621" t="s">
        <v>1500</v>
      </c>
      <c r="B1621" t="s">
        <v>2291</v>
      </c>
      <c r="C1621" t="s">
        <v>1501</v>
      </c>
      <c r="D1621" t="str">
        <f t="shared" si="25"/>
        <v>xml</v>
      </c>
    </row>
    <row r="1622" spans="1:4" x14ac:dyDescent="0.25">
      <c r="A1622" t="s">
        <v>1500</v>
      </c>
      <c r="B1622" t="s">
        <v>2291</v>
      </c>
      <c r="C1622" t="s">
        <v>1502</v>
      </c>
      <c r="D1622" t="str">
        <f t="shared" si="25"/>
        <v>pdf</v>
      </c>
    </row>
    <row r="1623" spans="1:4" x14ac:dyDescent="0.25">
      <c r="A1623" t="s">
        <v>1500</v>
      </c>
      <c r="B1623" t="s">
        <v>2291</v>
      </c>
      <c r="C1623" t="s">
        <v>1503</v>
      </c>
      <c r="D1623" t="str">
        <f t="shared" si="25"/>
        <v>pdf</v>
      </c>
    </row>
    <row r="1624" spans="1:4" x14ac:dyDescent="0.25">
      <c r="A1624" t="s">
        <v>1500</v>
      </c>
      <c r="B1624" t="s">
        <v>2291</v>
      </c>
      <c r="C1624" t="s">
        <v>1504</v>
      </c>
      <c r="D1624" t="str">
        <f t="shared" si="25"/>
        <v>pdf</v>
      </c>
    </row>
    <row r="1625" spans="1:4" x14ac:dyDescent="0.25">
      <c r="A1625" t="s">
        <v>1500</v>
      </c>
      <c r="B1625" t="s">
        <v>2291</v>
      </c>
      <c r="C1625" t="s">
        <v>1505</v>
      </c>
      <c r="D1625" t="str">
        <f t="shared" si="25"/>
        <v>pdf</v>
      </c>
    </row>
    <row r="1626" spans="1:4" x14ac:dyDescent="0.25">
      <c r="A1626" t="s">
        <v>1500</v>
      </c>
      <c r="B1626" t="s">
        <v>2291</v>
      </c>
      <c r="C1626" t="s">
        <v>1506</v>
      </c>
      <c r="D1626" t="str">
        <f t="shared" si="25"/>
        <v>pdf</v>
      </c>
    </row>
    <row r="1627" spans="1:4" x14ac:dyDescent="0.25">
      <c r="A1627" t="s">
        <v>1500</v>
      </c>
      <c r="B1627" t="s">
        <v>2291</v>
      </c>
      <c r="C1627" t="s">
        <v>1507</v>
      </c>
      <c r="D1627" t="str">
        <f t="shared" si="25"/>
        <v>pdf</v>
      </c>
    </row>
    <row r="1628" spans="1:4" x14ac:dyDescent="0.25">
      <c r="A1628" t="s">
        <v>1500</v>
      </c>
      <c r="B1628" t="s">
        <v>2291</v>
      </c>
      <c r="C1628" t="s">
        <v>1060</v>
      </c>
      <c r="D1628" t="str">
        <f t="shared" si="25"/>
        <v>pdf</v>
      </c>
    </row>
    <row r="1629" spans="1:4" x14ac:dyDescent="0.25">
      <c r="A1629" t="s">
        <v>1500</v>
      </c>
      <c r="B1629" t="s">
        <v>2291</v>
      </c>
      <c r="C1629" t="s">
        <v>1508</v>
      </c>
      <c r="D1629" t="str">
        <f t="shared" si="25"/>
        <v>pdf</v>
      </c>
    </row>
    <row r="1630" spans="1:4" x14ac:dyDescent="0.25">
      <c r="A1630" t="s">
        <v>1509</v>
      </c>
      <c r="B1630" t="s">
        <v>2291</v>
      </c>
      <c r="C1630" t="s">
        <v>1510</v>
      </c>
      <c r="D1630" t="str">
        <f t="shared" si="25"/>
        <v>ZIP oder R</v>
      </c>
    </row>
    <row r="1631" spans="1:4" x14ac:dyDescent="0.25">
      <c r="A1631" t="s">
        <v>1509</v>
      </c>
      <c r="B1631" t="s">
        <v>2291</v>
      </c>
      <c r="C1631" t="s">
        <v>38</v>
      </c>
      <c r="D1631" t="str">
        <f t="shared" si="25"/>
        <v>rhistory</v>
      </c>
    </row>
    <row r="1632" spans="1:4" x14ac:dyDescent="0.25">
      <c r="A1632" t="s">
        <v>1509</v>
      </c>
      <c r="B1632" t="s">
        <v>2291</v>
      </c>
      <c r="C1632" t="s">
        <v>1511</v>
      </c>
      <c r="D1632" t="str">
        <f t="shared" si="25"/>
        <v>pdf</v>
      </c>
    </row>
    <row r="1633" spans="1:4" x14ac:dyDescent="0.25">
      <c r="A1633" t="s">
        <v>1509</v>
      </c>
      <c r="B1633" t="s">
        <v>2291</v>
      </c>
      <c r="C1633" t="s">
        <v>1512</v>
      </c>
      <c r="D1633" t="str">
        <f t="shared" si="25"/>
        <v>pdf</v>
      </c>
    </row>
    <row r="1634" spans="1:4" x14ac:dyDescent="0.25">
      <c r="A1634" t="s">
        <v>1509</v>
      </c>
      <c r="B1634" t="s">
        <v>2291</v>
      </c>
      <c r="C1634" t="s">
        <v>1513</v>
      </c>
      <c r="D1634" t="str">
        <f t="shared" si="25"/>
        <v>pdf</v>
      </c>
    </row>
    <row r="1635" spans="1:4" x14ac:dyDescent="0.25">
      <c r="A1635" t="s">
        <v>1509</v>
      </c>
      <c r="B1635" t="s">
        <v>2291</v>
      </c>
      <c r="C1635" t="s">
        <v>1514</v>
      </c>
      <c r="D1635" t="str">
        <f t="shared" si="25"/>
        <v>png</v>
      </c>
    </row>
    <row r="1636" spans="1:4" x14ac:dyDescent="0.25">
      <c r="A1636" t="s">
        <v>1509</v>
      </c>
      <c r="B1636" t="s">
        <v>2291</v>
      </c>
      <c r="C1636" t="s">
        <v>1515</v>
      </c>
      <c r="D1636" t="str">
        <f t="shared" si="25"/>
        <v>png</v>
      </c>
    </row>
    <row r="1637" spans="1:4" x14ac:dyDescent="0.25">
      <c r="A1637" t="s">
        <v>1509</v>
      </c>
      <c r="B1637" t="s">
        <v>2291</v>
      </c>
      <c r="C1637" t="s">
        <v>1516</v>
      </c>
      <c r="D1637" t="str">
        <f t="shared" si="25"/>
        <v>png</v>
      </c>
    </row>
    <row r="1638" spans="1:4" x14ac:dyDescent="0.25">
      <c r="A1638" t="s">
        <v>1509</v>
      </c>
      <c r="B1638" t="s">
        <v>2291</v>
      </c>
      <c r="C1638" t="s">
        <v>1517</v>
      </c>
      <c r="D1638" t="str">
        <f t="shared" si="25"/>
        <v>png</v>
      </c>
    </row>
    <row r="1639" spans="1:4" x14ac:dyDescent="0.25">
      <c r="A1639" t="s">
        <v>1509</v>
      </c>
      <c r="B1639" t="s">
        <v>2291</v>
      </c>
      <c r="C1639" t="s">
        <v>1518</v>
      </c>
      <c r="D1639" t="str">
        <f t="shared" si="25"/>
        <v>png</v>
      </c>
    </row>
    <row r="1640" spans="1:4" x14ac:dyDescent="0.25">
      <c r="A1640" t="s">
        <v>1509</v>
      </c>
      <c r="B1640" t="s">
        <v>2291</v>
      </c>
      <c r="C1640" t="s">
        <v>1519</v>
      </c>
      <c r="D1640" t="str">
        <f t="shared" si="25"/>
        <v>png</v>
      </c>
    </row>
    <row r="1641" spans="1:4" x14ac:dyDescent="0.25">
      <c r="A1641" t="s">
        <v>1509</v>
      </c>
      <c r="B1641" t="s">
        <v>2291</v>
      </c>
      <c r="C1641" t="s">
        <v>1520</v>
      </c>
      <c r="D1641" t="str">
        <f t="shared" si="25"/>
        <v>png</v>
      </c>
    </row>
    <row r="1642" spans="1:4" x14ac:dyDescent="0.25">
      <c r="A1642" t="s">
        <v>1509</v>
      </c>
      <c r="B1642" t="s">
        <v>2291</v>
      </c>
      <c r="C1642" t="s">
        <v>1521</v>
      </c>
      <c r="D1642" t="str">
        <f t="shared" si="25"/>
        <v>png</v>
      </c>
    </row>
    <row r="1643" spans="1:4" x14ac:dyDescent="0.25">
      <c r="A1643" t="s">
        <v>1509</v>
      </c>
      <c r="B1643" t="s">
        <v>2291</v>
      </c>
      <c r="C1643" t="s">
        <v>1522</v>
      </c>
      <c r="D1643" t="str">
        <f t="shared" si="25"/>
        <v>png</v>
      </c>
    </row>
    <row r="1644" spans="1:4" x14ac:dyDescent="0.25">
      <c r="A1644" t="s">
        <v>1509</v>
      </c>
      <c r="B1644" t="s">
        <v>2291</v>
      </c>
      <c r="C1644" t="s">
        <v>1523</v>
      </c>
      <c r="D1644" t="str">
        <f t="shared" si="25"/>
        <v>png</v>
      </c>
    </row>
    <row r="1645" spans="1:4" x14ac:dyDescent="0.25">
      <c r="A1645" t="s">
        <v>1509</v>
      </c>
      <c r="B1645" t="s">
        <v>2291</v>
      </c>
      <c r="C1645" t="s">
        <v>1524</v>
      </c>
      <c r="D1645" t="str">
        <f t="shared" si="25"/>
        <v>png</v>
      </c>
    </row>
    <row r="1646" spans="1:4" x14ac:dyDescent="0.25">
      <c r="A1646" t="s">
        <v>1509</v>
      </c>
      <c r="B1646" t="s">
        <v>2291</v>
      </c>
      <c r="C1646" t="s">
        <v>1525</v>
      </c>
      <c r="D1646" t="str">
        <f t="shared" si="25"/>
        <v>png</v>
      </c>
    </row>
    <row r="1647" spans="1:4" x14ac:dyDescent="0.25">
      <c r="A1647" t="s">
        <v>1509</v>
      </c>
      <c r="B1647" t="s">
        <v>2291</v>
      </c>
      <c r="C1647" t="s">
        <v>1526</v>
      </c>
      <c r="D1647" t="str">
        <f t="shared" si="25"/>
        <v>png</v>
      </c>
    </row>
    <row r="1648" spans="1:4" x14ac:dyDescent="0.25">
      <c r="A1648" t="s">
        <v>1509</v>
      </c>
      <c r="B1648" t="s">
        <v>2291</v>
      </c>
      <c r="C1648" t="s">
        <v>1527</v>
      </c>
      <c r="D1648" t="str">
        <f t="shared" si="25"/>
        <v>png</v>
      </c>
    </row>
    <row r="1649" spans="1:4" x14ac:dyDescent="0.25">
      <c r="A1649" t="s">
        <v>1509</v>
      </c>
      <c r="B1649" t="s">
        <v>2291</v>
      </c>
      <c r="C1649" t="s">
        <v>1528</v>
      </c>
      <c r="D1649" t="str">
        <f t="shared" si="25"/>
        <v>png</v>
      </c>
    </row>
    <row r="1650" spans="1:4" x14ac:dyDescent="0.25">
      <c r="A1650" t="s">
        <v>1509</v>
      </c>
      <c r="B1650" t="s">
        <v>2291</v>
      </c>
      <c r="C1650" t="s">
        <v>1529</v>
      </c>
      <c r="D1650" t="str">
        <f t="shared" si="25"/>
        <v>png</v>
      </c>
    </row>
    <row r="1651" spans="1:4" x14ac:dyDescent="0.25">
      <c r="A1651" t="s">
        <v>1509</v>
      </c>
      <c r="B1651" t="s">
        <v>2291</v>
      </c>
      <c r="C1651" t="s">
        <v>1530</v>
      </c>
      <c r="D1651" t="str">
        <f t="shared" si="25"/>
        <v>png</v>
      </c>
    </row>
    <row r="1652" spans="1:4" x14ac:dyDescent="0.25">
      <c r="A1652" t="s">
        <v>1509</v>
      </c>
      <c r="B1652" t="s">
        <v>2291</v>
      </c>
      <c r="C1652" t="s">
        <v>1531</v>
      </c>
      <c r="D1652" t="str">
        <f t="shared" si="25"/>
        <v>png</v>
      </c>
    </row>
    <row r="1653" spans="1:4" x14ac:dyDescent="0.25">
      <c r="A1653" t="s">
        <v>1509</v>
      </c>
      <c r="B1653" t="s">
        <v>2291</v>
      </c>
      <c r="C1653" t="s">
        <v>1532</v>
      </c>
      <c r="D1653" t="str">
        <f t="shared" si="25"/>
        <v>png</v>
      </c>
    </row>
    <row r="1654" spans="1:4" x14ac:dyDescent="0.25">
      <c r="A1654" t="s">
        <v>1509</v>
      </c>
      <c r="B1654" t="s">
        <v>2291</v>
      </c>
      <c r="C1654" t="s">
        <v>1533</v>
      </c>
      <c r="D1654" t="str">
        <f t="shared" si="25"/>
        <v>png</v>
      </c>
    </row>
    <row r="1655" spans="1:4" x14ac:dyDescent="0.25">
      <c r="A1655" t="s">
        <v>1509</v>
      </c>
      <c r="B1655" t="s">
        <v>2291</v>
      </c>
      <c r="C1655" t="s">
        <v>1534</v>
      </c>
      <c r="D1655" t="str">
        <f t="shared" si="25"/>
        <v>png</v>
      </c>
    </row>
    <row r="1656" spans="1:4" x14ac:dyDescent="0.25">
      <c r="A1656" t="s">
        <v>1509</v>
      </c>
      <c r="B1656" t="s">
        <v>2291</v>
      </c>
      <c r="C1656" t="s">
        <v>1535</v>
      </c>
      <c r="D1656" t="str">
        <f t="shared" si="25"/>
        <v>png</v>
      </c>
    </row>
    <row r="1657" spans="1:4" x14ac:dyDescent="0.25">
      <c r="A1657" t="s">
        <v>1509</v>
      </c>
      <c r="B1657" t="s">
        <v>2291</v>
      </c>
      <c r="C1657" t="s">
        <v>1536</v>
      </c>
      <c r="D1657" t="str">
        <f t="shared" si="25"/>
        <v>png</v>
      </c>
    </row>
    <row r="1658" spans="1:4" x14ac:dyDescent="0.25">
      <c r="A1658" t="s">
        <v>1509</v>
      </c>
      <c r="B1658" t="s">
        <v>2291</v>
      </c>
      <c r="C1658" t="s">
        <v>1537</v>
      </c>
      <c r="D1658" t="str">
        <f t="shared" si="25"/>
        <v>png</v>
      </c>
    </row>
    <row r="1659" spans="1:4" x14ac:dyDescent="0.25">
      <c r="A1659" t="s">
        <v>1509</v>
      </c>
      <c r="B1659" t="s">
        <v>2291</v>
      </c>
      <c r="C1659" t="s">
        <v>1538</v>
      </c>
      <c r="D1659" t="str">
        <f t="shared" si="25"/>
        <v>png</v>
      </c>
    </row>
    <row r="1660" spans="1:4" x14ac:dyDescent="0.25">
      <c r="A1660" t="s">
        <v>1509</v>
      </c>
      <c r="B1660" t="s">
        <v>2291</v>
      </c>
      <c r="C1660" t="s">
        <v>1539</v>
      </c>
      <c r="D1660" t="str">
        <f t="shared" si="25"/>
        <v>png</v>
      </c>
    </row>
    <row r="1661" spans="1:4" x14ac:dyDescent="0.25">
      <c r="A1661" t="s">
        <v>1509</v>
      </c>
      <c r="B1661" t="s">
        <v>2291</v>
      </c>
      <c r="C1661" t="s">
        <v>1540</v>
      </c>
      <c r="D1661" t="str">
        <f t="shared" si="25"/>
        <v>png</v>
      </c>
    </row>
    <row r="1662" spans="1:4" x14ac:dyDescent="0.25">
      <c r="A1662" t="s">
        <v>1509</v>
      </c>
      <c r="B1662" t="s">
        <v>2291</v>
      </c>
      <c r="C1662" t="s">
        <v>1541</v>
      </c>
      <c r="D1662" t="str">
        <f t="shared" si="25"/>
        <v>png</v>
      </c>
    </row>
    <row r="1663" spans="1:4" x14ac:dyDescent="0.25">
      <c r="A1663" t="s">
        <v>1509</v>
      </c>
      <c r="B1663" t="s">
        <v>2291</v>
      </c>
      <c r="C1663" t="s">
        <v>1542</v>
      </c>
      <c r="D1663" t="str">
        <f t="shared" si="25"/>
        <v>png</v>
      </c>
    </row>
    <row r="1664" spans="1:4" x14ac:dyDescent="0.25">
      <c r="A1664" t="s">
        <v>1509</v>
      </c>
      <c r="B1664" t="s">
        <v>2291</v>
      </c>
      <c r="C1664" t="s">
        <v>1543</v>
      </c>
      <c r="D1664" t="str">
        <f t="shared" si="25"/>
        <v>png</v>
      </c>
    </row>
    <row r="1665" spans="1:4" x14ac:dyDescent="0.25">
      <c r="A1665" t="s">
        <v>1509</v>
      </c>
      <c r="B1665" t="s">
        <v>2291</v>
      </c>
      <c r="C1665" t="s">
        <v>1544</v>
      </c>
      <c r="D1665" t="str">
        <f t="shared" si="25"/>
        <v>png</v>
      </c>
    </row>
    <row r="1666" spans="1:4" x14ac:dyDescent="0.25">
      <c r="A1666" t="s">
        <v>1509</v>
      </c>
      <c r="B1666" t="s">
        <v>2291</v>
      </c>
      <c r="C1666" t="s">
        <v>1545</v>
      </c>
      <c r="D1666" t="str">
        <f t="shared" si="25"/>
        <v>png</v>
      </c>
    </row>
    <row r="1667" spans="1:4" x14ac:dyDescent="0.25">
      <c r="A1667" t="s">
        <v>1509</v>
      </c>
      <c r="B1667" t="s">
        <v>2291</v>
      </c>
      <c r="C1667" t="s">
        <v>1546</v>
      </c>
      <c r="D1667" t="str">
        <f t="shared" ref="D1667:D1730" si="26">IF(ISNUMBER(SEARCH(".pdf",C1667)),"pdf",IF(ISNUMBER(SEARCH(".tif",C1667)),"tif",IF(ISNUMBER(SEARCH(".las",C1667)),"las",IF(ISNUMBER(SEARCH(".sdg",C1667)),"sdg",IF(ISNUMBER(SEARCH(".xlsx",C1667)),"xlsx",IF(ISNUMBER(SEARCH(".docx",C1667)),"docx",IF(ISNUMBER(SEARCH(".rhistory",C1667)),"rhistory",IF(ISNUMBER(SEARCH(".db",C1667)),"db",IF(ISNUMBER(SEARCH(".jpg",C1667)),"jpg",IF(ISNUMBER(SEARCH(".png",C1667)),"png",IF(ISNUMBER(SEARCH(".mdb",C1667)),"mdb",IF(ISNUMBER(SEARCH(".xml",C1667)),"xml",IF(ISNUMBER(SEARCH(".xls",C1667)),"xls",IF(ISNUMBER(SEARCH(".txt",C1667)),"txt",IF(ISNUMBER(SEARCH(".tsf",C1667)),"tsf",IF(ISNUMBER(SEARCH(".sch",C1667)),"sch","ZIP oder R"))))))))))))))))</f>
        <v>png</v>
      </c>
    </row>
    <row r="1668" spans="1:4" x14ac:dyDescent="0.25">
      <c r="A1668" t="s">
        <v>1509</v>
      </c>
      <c r="B1668" t="s">
        <v>2291</v>
      </c>
      <c r="C1668" t="s">
        <v>1547</v>
      </c>
      <c r="D1668" t="str">
        <f t="shared" si="26"/>
        <v>png</v>
      </c>
    </row>
    <row r="1669" spans="1:4" x14ac:dyDescent="0.25">
      <c r="A1669" t="s">
        <v>1509</v>
      </c>
      <c r="B1669" t="s">
        <v>2291</v>
      </c>
      <c r="C1669" t="s">
        <v>1548</v>
      </c>
      <c r="D1669" t="str">
        <f t="shared" si="26"/>
        <v>png</v>
      </c>
    </row>
    <row r="1670" spans="1:4" x14ac:dyDescent="0.25">
      <c r="A1670" t="s">
        <v>1509</v>
      </c>
      <c r="B1670" t="s">
        <v>2291</v>
      </c>
      <c r="C1670" t="s">
        <v>1549</v>
      </c>
      <c r="D1670" t="str">
        <f t="shared" si="26"/>
        <v>png</v>
      </c>
    </row>
    <row r="1671" spans="1:4" x14ac:dyDescent="0.25">
      <c r="A1671" t="s">
        <v>1509</v>
      </c>
      <c r="B1671" t="s">
        <v>2291</v>
      </c>
      <c r="C1671" t="s">
        <v>1550</v>
      </c>
      <c r="D1671" t="str">
        <f t="shared" si="26"/>
        <v>png</v>
      </c>
    </row>
    <row r="1672" spans="1:4" x14ac:dyDescent="0.25">
      <c r="A1672" t="s">
        <v>1509</v>
      </c>
      <c r="B1672" t="s">
        <v>2291</v>
      </c>
      <c r="C1672" t="s">
        <v>1551</v>
      </c>
      <c r="D1672" t="str">
        <f t="shared" si="26"/>
        <v>png</v>
      </c>
    </row>
    <row r="1673" spans="1:4" x14ac:dyDescent="0.25">
      <c r="A1673" t="s">
        <v>1509</v>
      </c>
      <c r="B1673" t="s">
        <v>2291</v>
      </c>
      <c r="C1673" t="s">
        <v>1552</v>
      </c>
      <c r="D1673" t="str">
        <f t="shared" si="26"/>
        <v>png</v>
      </c>
    </row>
    <row r="1674" spans="1:4" x14ac:dyDescent="0.25">
      <c r="A1674" t="s">
        <v>1509</v>
      </c>
      <c r="B1674" t="s">
        <v>2291</v>
      </c>
      <c r="C1674" t="s">
        <v>1553</v>
      </c>
      <c r="D1674" t="str">
        <f t="shared" si="26"/>
        <v>png</v>
      </c>
    </row>
    <row r="1675" spans="1:4" x14ac:dyDescent="0.25">
      <c r="A1675" t="s">
        <v>1509</v>
      </c>
      <c r="B1675" t="s">
        <v>2291</v>
      </c>
      <c r="C1675" t="s">
        <v>1554</v>
      </c>
      <c r="D1675" t="str">
        <f t="shared" si="26"/>
        <v>png</v>
      </c>
    </row>
    <row r="1676" spans="1:4" x14ac:dyDescent="0.25">
      <c r="A1676" t="s">
        <v>1509</v>
      </c>
      <c r="B1676" t="s">
        <v>2291</v>
      </c>
      <c r="C1676" t="s">
        <v>1555</v>
      </c>
      <c r="D1676" t="str">
        <f t="shared" si="26"/>
        <v>png</v>
      </c>
    </row>
    <row r="1677" spans="1:4" x14ac:dyDescent="0.25">
      <c r="A1677" t="s">
        <v>1509</v>
      </c>
      <c r="B1677" t="s">
        <v>2291</v>
      </c>
      <c r="C1677" t="s">
        <v>1556</v>
      </c>
      <c r="D1677" t="str">
        <f t="shared" si="26"/>
        <v>png</v>
      </c>
    </row>
    <row r="1678" spans="1:4" x14ac:dyDescent="0.25">
      <c r="A1678" t="s">
        <v>1509</v>
      </c>
      <c r="B1678" t="s">
        <v>2291</v>
      </c>
      <c r="C1678" t="s">
        <v>1557</v>
      </c>
      <c r="D1678" t="str">
        <f t="shared" si="26"/>
        <v>png</v>
      </c>
    </row>
    <row r="1679" spans="1:4" x14ac:dyDescent="0.25">
      <c r="A1679" t="s">
        <v>1509</v>
      </c>
      <c r="B1679" t="s">
        <v>2291</v>
      </c>
      <c r="C1679" t="s">
        <v>1558</v>
      </c>
      <c r="D1679" t="str">
        <f t="shared" si="26"/>
        <v>png</v>
      </c>
    </row>
    <row r="1680" spans="1:4" x14ac:dyDescent="0.25">
      <c r="A1680" t="s">
        <v>1509</v>
      </c>
      <c r="B1680" t="s">
        <v>2291</v>
      </c>
      <c r="C1680" t="s">
        <v>1559</v>
      </c>
      <c r="D1680" t="str">
        <f t="shared" si="26"/>
        <v>png</v>
      </c>
    </row>
    <row r="1681" spans="1:4" x14ac:dyDescent="0.25">
      <c r="A1681" t="s">
        <v>1509</v>
      </c>
      <c r="B1681" t="s">
        <v>2291</v>
      </c>
      <c r="C1681" t="s">
        <v>1560</v>
      </c>
      <c r="D1681" t="str">
        <f t="shared" si="26"/>
        <v>png</v>
      </c>
    </row>
    <row r="1682" spans="1:4" x14ac:dyDescent="0.25">
      <c r="A1682" t="s">
        <v>1509</v>
      </c>
      <c r="B1682" t="s">
        <v>2291</v>
      </c>
      <c r="C1682" t="s">
        <v>1561</v>
      </c>
      <c r="D1682" t="str">
        <f t="shared" si="26"/>
        <v>png</v>
      </c>
    </row>
    <row r="1683" spans="1:4" x14ac:dyDescent="0.25">
      <c r="A1683" t="s">
        <v>1509</v>
      </c>
      <c r="B1683" t="s">
        <v>2291</v>
      </c>
      <c r="C1683" t="s">
        <v>1562</v>
      </c>
      <c r="D1683" t="str">
        <f t="shared" si="26"/>
        <v>png</v>
      </c>
    </row>
    <row r="1684" spans="1:4" x14ac:dyDescent="0.25">
      <c r="A1684" t="s">
        <v>1509</v>
      </c>
      <c r="B1684" t="s">
        <v>2291</v>
      </c>
      <c r="C1684" t="s">
        <v>1563</v>
      </c>
      <c r="D1684" t="str">
        <f t="shared" si="26"/>
        <v>png</v>
      </c>
    </row>
    <row r="1685" spans="1:4" x14ac:dyDescent="0.25">
      <c r="A1685" t="s">
        <v>1509</v>
      </c>
      <c r="B1685" t="s">
        <v>2291</v>
      </c>
      <c r="C1685" t="s">
        <v>1564</v>
      </c>
      <c r="D1685" t="str">
        <f t="shared" si="26"/>
        <v>png</v>
      </c>
    </row>
    <row r="1686" spans="1:4" x14ac:dyDescent="0.25">
      <c r="A1686" t="s">
        <v>1509</v>
      </c>
      <c r="B1686" t="s">
        <v>2291</v>
      </c>
      <c r="C1686" t="s">
        <v>1565</v>
      </c>
      <c r="D1686" t="str">
        <f t="shared" si="26"/>
        <v>png</v>
      </c>
    </row>
    <row r="1687" spans="1:4" x14ac:dyDescent="0.25">
      <c r="A1687" t="s">
        <v>1509</v>
      </c>
      <c r="B1687" t="s">
        <v>2291</v>
      </c>
      <c r="C1687" t="s">
        <v>1566</v>
      </c>
      <c r="D1687" t="str">
        <f t="shared" si="26"/>
        <v>png</v>
      </c>
    </row>
    <row r="1688" spans="1:4" x14ac:dyDescent="0.25">
      <c r="A1688" t="s">
        <v>1509</v>
      </c>
      <c r="B1688" t="s">
        <v>2291</v>
      </c>
      <c r="C1688" t="s">
        <v>1567</v>
      </c>
      <c r="D1688" t="str">
        <f t="shared" si="26"/>
        <v>png</v>
      </c>
    </row>
    <row r="1689" spans="1:4" x14ac:dyDescent="0.25">
      <c r="A1689" t="s">
        <v>1509</v>
      </c>
      <c r="B1689" t="s">
        <v>2291</v>
      </c>
      <c r="C1689" t="s">
        <v>1568</v>
      </c>
      <c r="D1689" t="str">
        <f t="shared" si="26"/>
        <v>png</v>
      </c>
    </row>
    <row r="1690" spans="1:4" x14ac:dyDescent="0.25">
      <c r="A1690" t="s">
        <v>1509</v>
      </c>
      <c r="B1690" t="s">
        <v>2291</v>
      </c>
      <c r="C1690" t="s">
        <v>1569</v>
      </c>
      <c r="D1690" t="str">
        <f t="shared" si="26"/>
        <v>png</v>
      </c>
    </row>
    <row r="1691" spans="1:4" x14ac:dyDescent="0.25">
      <c r="A1691" t="s">
        <v>1509</v>
      </c>
      <c r="B1691" t="s">
        <v>2291</v>
      </c>
      <c r="C1691" t="s">
        <v>1570</v>
      </c>
      <c r="D1691" t="str">
        <f t="shared" si="26"/>
        <v>png</v>
      </c>
    </row>
    <row r="1692" spans="1:4" x14ac:dyDescent="0.25">
      <c r="A1692" t="s">
        <v>1509</v>
      </c>
      <c r="B1692" t="s">
        <v>2291</v>
      </c>
      <c r="C1692" t="s">
        <v>1571</v>
      </c>
      <c r="D1692" t="str">
        <f t="shared" si="26"/>
        <v>png</v>
      </c>
    </row>
    <row r="1693" spans="1:4" x14ac:dyDescent="0.25">
      <c r="A1693" t="s">
        <v>1509</v>
      </c>
      <c r="B1693" t="s">
        <v>2291</v>
      </c>
      <c r="C1693" t="s">
        <v>1572</v>
      </c>
      <c r="D1693" t="str">
        <f t="shared" si="26"/>
        <v>png</v>
      </c>
    </row>
    <row r="1694" spans="1:4" x14ac:dyDescent="0.25">
      <c r="A1694" t="s">
        <v>1509</v>
      </c>
      <c r="B1694" t="s">
        <v>2291</v>
      </c>
      <c r="C1694" t="s">
        <v>1573</v>
      </c>
      <c r="D1694" t="str">
        <f t="shared" si="26"/>
        <v>png</v>
      </c>
    </row>
    <row r="1695" spans="1:4" x14ac:dyDescent="0.25">
      <c r="A1695" t="s">
        <v>1509</v>
      </c>
      <c r="B1695" t="s">
        <v>2291</v>
      </c>
      <c r="C1695" t="s">
        <v>1574</v>
      </c>
      <c r="D1695" t="str">
        <f t="shared" si="26"/>
        <v>png</v>
      </c>
    </row>
    <row r="1696" spans="1:4" x14ac:dyDescent="0.25">
      <c r="A1696" t="s">
        <v>1509</v>
      </c>
      <c r="B1696" t="s">
        <v>2291</v>
      </c>
      <c r="C1696" t="s">
        <v>1575</v>
      </c>
      <c r="D1696" t="str">
        <f t="shared" si="26"/>
        <v>png</v>
      </c>
    </row>
    <row r="1697" spans="1:4" x14ac:dyDescent="0.25">
      <c r="A1697" t="s">
        <v>1509</v>
      </c>
      <c r="B1697" t="s">
        <v>2291</v>
      </c>
      <c r="C1697" t="s">
        <v>1576</v>
      </c>
      <c r="D1697" t="str">
        <f t="shared" si="26"/>
        <v>png</v>
      </c>
    </row>
    <row r="1698" spans="1:4" x14ac:dyDescent="0.25">
      <c r="A1698" t="s">
        <v>1509</v>
      </c>
      <c r="B1698" t="s">
        <v>2291</v>
      </c>
      <c r="C1698" t="s">
        <v>1577</v>
      </c>
      <c r="D1698" t="str">
        <f t="shared" si="26"/>
        <v>png</v>
      </c>
    </row>
    <row r="1699" spans="1:4" x14ac:dyDescent="0.25">
      <c r="A1699" t="s">
        <v>1509</v>
      </c>
      <c r="B1699" t="s">
        <v>2291</v>
      </c>
      <c r="C1699" t="s">
        <v>1578</v>
      </c>
      <c r="D1699" t="str">
        <f t="shared" si="26"/>
        <v>png</v>
      </c>
    </row>
    <row r="1700" spans="1:4" x14ac:dyDescent="0.25">
      <c r="A1700" t="s">
        <v>1509</v>
      </c>
      <c r="B1700" t="s">
        <v>2291</v>
      </c>
      <c r="C1700" t="s">
        <v>1579</v>
      </c>
      <c r="D1700" t="str">
        <f t="shared" si="26"/>
        <v>png</v>
      </c>
    </row>
    <row r="1701" spans="1:4" x14ac:dyDescent="0.25">
      <c r="A1701" t="s">
        <v>1509</v>
      </c>
      <c r="B1701" t="s">
        <v>2291</v>
      </c>
      <c r="C1701" t="s">
        <v>1580</v>
      </c>
      <c r="D1701" t="str">
        <f t="shared" si="26"/>
        <v>png</v>
      </c>
    </row>
    <row r="1702" spans="1:4" x14ac:dyDescent="0.25">
      <c r="A1702" t="s">
        <v>1509</v>
      </c>
      <c r="B1702" t="s">
        <v>2291</v>
      </c>
      <c r="C1702" t="s">
        <v>1581</v>
      </c>
      <c r="D1702" t="str">
        <f t="shared" si="26"/>
        <v>png</v>
      </c>
    </row>
    <row r="1703" spans="1:4" x14ac:dyDescent="0.25">
      <c r="A1703" t="s">
        <v>1509</v>
      </c>
      <c r="B1703" t="s">
        <v>2291</v>
      </c>
      <c r="C1703" t="s">
        <v>1582</v>
      </c>
      <c r="D1703" t="str">
        <f t="shared" si="26"/>
        <v>png</v>
      </c>
    </row>
    <row r="1704" spans="1:4" x14ac:dyDescent="0.25">
      <c r="A1704" t="s">
        <v>1509</v>
      </c>
      <c r="B1704" t="s">
        <v>2291</v>
      </c>
      <c r="C1704" t="s">
        <v>1583</v>
      </c>
      <c r="D1704" t="str">
        <f t="shared" si="26"/>
        <v>png</v>
      </c>
    </row>
    <row r="1705" spans="1:4" x14ac:dyDescent="0.25">
      <c r="A1705" t="s">
        <v>1509</v>
      </c>
      <c r="B1705" t="s">
        <v>2291</v>
      </c>
      <c r="C1705" t="s">
        <v>1584</v>
      </c>
      <c r="D1705" t="str">
        <f t="shared" si="26"/>
        <v>png</v>
      </c>
    </row>
    <row r="1706" spans="1:4" x14ac:dyDescent="0.25">
      <c r="A1706" t="s">
        <v>1509</v>
      </c>
      <c r="B1706" t="s">
        <v>2291</v>
      </c>
      <c r="C1706" t="s">
        <v>1585</v>
      </c>
      <c r="D1706" t="str">
        <f t="shared" si="26"/>
        <v>png</v>
      </c>
    </row>
    <row r="1707" spans="1:4" x14ac:dyDescent="0.25">
      <c r="A1707" t="s">
        <v>1509</v>
      </c>
      <c r="B1707" t="s">
        <v>2291</v>
      </c>
      <c r="C1707" t="s">
        <v>1586</v>
      </c>
      <c r="D1707" t="str">
        <f t="shared" si="26"/>
        <v>png</v>
      </c>
    </row>
    <row r="1708" spans="1:4" x14ac:dyDescent="0.25">
      <c r="A1708" t="s">
        <v>1509</v>
      </c>
      <c r="B1708" t="s">
        <v>2291</v>
      </c>
      <c r="C1708" t="s">
        <v>1587</v>
      </c>
      <c r="D1708" t="str">
        <f t="shared" si="26"/>
        <v>png</v>
      </c>
    </row>
    <row r="1709" spans="1:4" x14ac:dyDescent="0.25">
      <c r="A1709" t="s">
        <v>1509</v>
      </c>
      <c r="B1709" t="s">
        <v>2291</v>
      </c>
      <c r="C1709" t="s">
        <v>1588</v>
      </c>
      <c r="D1709" t="str">
        <f t="shared" si="26"/>
        <v>png</v>
      </c>
    </row>
    <row r="1710" spans="1:4" x14ac:dyDescent="0.25">
      <c r="A1710" t="s">
        <v>1509</v>
      </c>
      <c r="B1710" t="s">
        <v>2291</v>
      </c>
      <c r="C1710" t="s">
        <v>1589</v>
      </c>
      <c r="D1710" t="str">
        <f t="shared" si="26"/>
        <v>png</v>
      </c>
    </row>
    <row r="1711" spans="1:4" x14ac:dyDescent="0.25">
      <c r="A1711" t="s">
        <v>1509</v>
      </c>
      <c r="B1711" t="s">
        <v>2291</v>
      </c>
      <c r="C1711" t="s">
        <v>1590</v>
      </c>
      <c r="D1711" t="str">
        <f t="shared" si="26"/>
        <v>png</v>
      </c>
    </row>
    <row r="1712" spans="1:4" x14ac:dyDescent="0.25">
      <c r="A1712" t="s">
        <v>1509</v>
      </c>
      <c r="B1712" t="s">
        <v>2291</v>
      </c>
      <c r="C1712" t="s">
        <v>1591</v>
      </c>
      <c r="D1712" t="str">
        <f t="shared" si="26"/>
        <v>png</v>
      </c>
    </row>
    <row r="1713" spans="1:4" x14ac:dyDescent="0.25">
      <c r="A1713" t="s">
        <v>1509</v>
      </c>
      <c r="B1713" t="s">
        <v>2291</v>
      </c>
      <c r="C1713" t="s">
        <v>1592</v>
      </c>
      <c r="D1713" t="str">
        <f t="shared" si="26"/>
        <v>png</v>
      </c>
    </row>
    <row r="1714" spans="1:4" x14ac:dyDescent="0.25">
      <c r="A1714" t="s">
        <v>1509</v>
      </c>
      <c r="B1714" t="s">
        <v>2291</v>
      </c>
      <c r="C1714" t="s">
        <v>1593</v>
      </c>
      <c r="D1714" t="str">
        <f t="shared" si="26"/>
        <v>png</v>
      </c>
    </row>
    <row r="1715" spans="1:4" x14ac:dyDescent="0.25">
      <c r="A1715" t="s">
        <v>1509</v>
      </c>
      <c r="B1715" t="s">
        <v>2291</v>
      </c>
      <c r="C1715" t="s">
        <v>1594</v>
      </c>
      <c r="D1715" t="str">
        <f t="shared" si="26"/>
        <v>png</v>
      </c>
    </row>
    <row r="1716" spans="1:4" x14ac:dyDescent="0.25">
      <c r="A1716" t="s">
        <v>1509</v>
      </c>
      <c r="B1716" t="s">
        <v>2291</v>
      </c>
      <c r="C1716" t="s">
        <v>1595</v>
      </c>
      <c r="D1716" t="str">
        <f t="shared" si="26"/>
        <v>png</v>
      </c>
    </row>
    <row r="1717" spans="1:4" x14ac:dyDescent="0.25">
      <c r="A1717" t="s">
        <v>1509</v>
      </c>
      <c r="B1717" t="s">
        <v>2291</v>
      </c>
      <c r="C1717" t="s">
        <v>1596</v>
      </c>
      <c r="D1717" t="str">
        <f t="shared" si="26"/>
        <v>png</v>
      </c>
    </row>
    <row r="1718" spans="1:4" x14ac:dyDescent="0.25">
      <c r="A1718" t="s">
        <v>1509</v>
      </c>
      <c r="B1718" t="s">
        <v>2291</v>
      </c>
      <c r="C1718" t="s">
        <v>1597</v>
      </c>
      <c r="D1718" t="str">
        <f t="shared" si="26"/>
        <v>png</v>
      </c>
    </row>
    <row r="1719" spans="1:4" x14ac:dyDescent="0.25">
      <c r="A1719" t="s">
        <v>1509</v>
      </c>
      <c r="B1719" t="s">
        <v>2291</v>
      </c>
      <c r="C1719" t="s">
        <v>1598</v>
      </c>
      <c r="D1719" t="str">
        <f t="shared" si="26"/>
        <v>png</v>
      </c>
    </row>
    <row r="1720" spans="1:4" x14ac:dyDescent="0.25">
      <c r="A1720" t="s">
        <v>1509</v>
      </c>
      <c r="B1720" t="s">
        <v>2291</v>
      </c>
      <c r="C1720" t="s">
        <v>1599</v>
      </c>
      <c r="D1720" t="str">
        <f t="shared" si="26"/>
        <v>png</v>
      </c>
    </row>
    <row r="1721" spans="1:4" x14ac:dyDescent="0.25">
      <c r="A1721" t="s">
        <v>1509</v>
      </c>
      <c r="B1721" t="s">
        <v>2291</v>
      </c>
      <c r="C1721" t="s">
        <v>1600</v>
      </c>
      <c r="D1721" t="str">
        <f t="shared" si="26"/>
        <v>png</v>
      </c>
    </row>
    <row r="1722" spans="1:4" x14ac:dyDescent="0.25">
      <c r="A1722" t="s">
        <v>1509</v>
      </c>
      <c r="B1722" t="s">
        <v>2291</v>
      </c>
      <c r="C1722" t="s">
        <v>1601</v>
      </c>
      <c r="D1722" t="str">
        <f t="shared" si="26"/>
        <v>png</v>
      </c>
    </row>
    <row r="1723" spans="1:4" x14ac:dyDescent="0.25">
      <c r="A1723" t="s">
        <v>1509</v>
      </c>
      <c r="B1723" t="s">
        <v>2291</v>
      </c>
      <c r="C1723" t="s">
        <v>1602</v>
      </c>
      <c r="D1723" t="str">
        <f t="shared" si="26"/>
        <v>png</v>
      </c>
    </row>
    <row r="1724" spans="1:4" x14ac:dyDescent="0.25">
      <c r="A1724" t="s">
        <v>1509</v>
      </c>
      <c r="B1724" t="s">
        <v>2291</v>
      </c>
      <c r="C1724" t="s">
        <v>1603</v>
      </c>
      <c r="D1724" t="str">
        <f t="shared" si="26"/>
        <v>png</v>
      </c>
    </row>
    <row r="1725" spans="1:4" x14ac:dyDescent="0.25">
      <c r="A1725" t="s">
        <v>1509</v>
      </c>
      <c r="B1725" t="s">
        <v>2291</v>
      </c>
      <c r="C1725" t="s">
        <v>1604</v>
      </c>
      <c r="D1725" t="str">
        <f t="shared" si="26"/>
        <v>png</v>
      </c>
    </row>
    <row r="1726" spans="1:4" x14ac:dyDescent="0.25">
      <c r="A1726" t="s">
        <v>1509</v>
      </c>
      <c r="B1726" t="s">
        <v>2291</v>
      </c>
      <c r="C1726" t="s">
        <v>1605</v>
      </c>
      <c r="D1726" t="str">
        <f t="shared" si="26"/>
        <v>png</v>
      </c>
    </row>
    <row r="1727" spans="1:4" x14ac:dyDescent="0.25">
      <c r="A1727" t="s">
        <v>1509</v>
      </c>
      <c r="B1727" t="s">
        <v>2291</v>
      </c>
      <c r="C1727" t="s">
        <v>1606</v>
      </c>
      <c r="D1727" t="str">
        <f t="shared" si="26"/>
        <v>png</v>
      </c>
    </row>
    <row r="1728" spans="1:4" x14ac:dyDescent="0.25">
      <c r="A1728" t="s">
        <v>1509</v>
      </c>
      <c r="B1728" t="s">
        <v>2291</v>
      </c>
      <c r="C1728" t="s">
        <v>1607</v>
      </c>
      <c r="D1728" t="str">
        <f t="shared" si="26"/>
        <v>png</v>
      </c>
    </row>
    <row r="1729" spans="1:4" x14ac:dyDescent="0.25">
      <c r="A1729" t="s">
        <v>1509</v>
      </c>
      <c r="B1729" t="s">
        <v>2291</v>
      </c>
      <c r="C1729" t="s">
        <v>1608</v>
      </c>
      <c r="D1729" t="str">
        <f t="shared" si="26"/>
        <v>png</v>
      </c>
    </row>
    <row r="1730" spans="1:4" x14ac:dyDescent="0.25">
      <c r="A1730" t="s">
        <v>1509</v>
      </c>
      <c r="B1730" t="s">
        <v>2291</v>
      </c>
      <c r="C1730" t="s">
        <v>1609</v>
      </c>
      <c r="D1730" t="str">
        <f t="shared" si="26"/>
        <v>png</v>
      </c>
    </row>
    <row r="1731" spans="1:4" x14ac:dyDescent="0.25">
      <c r="A1731" t="s">
        <v>1509</v>
      </c>
      <c r="B1731" t="s">
        <v>2291</v>
      </c>
      <c r="C1731" t="s">
        <v>1610</v>
      </c>
      <c r="D1731" t="str">
        <f t="shared" ref="D1731:D1794" si="27">IF(ISNUMBER(SEARCH(".pdf",C1731)),"pdf",IF(ISNUMBER(SEARCH(".tif",C1731)),"tif",IF(ISNUMBER(SEARCH(".las",C1731)),"las",IF(ISNUMBER(SEARCH(".sdg",C1731)),"sdg",IF(ISNUMBER(SEARCH(".xlsx",C1731)),"xlsx",IF(ISNUMBER(SEARCH(".docx",C1731)),"docx",IF(ISNUMBER(SEARCH(".rhistory",C1731)),"rhistory",IF(ISNUMBER(SEARCH(".db",C1731)),"db",IF(ISNUMBER(SEARCH(".jpg",C1731)),"jpg",IF(ISNUMBER(SEARCH(".png",C1731)),"png",IF(ISNUMBER(SEARCH(".mdb",C1731)),"mdb",IF(ISNUMBER(SEARCH(".xml",C1731)),"xml",IF(ISNUMBER(SEARCH(".xls",C1731)),"xls",IF(ISNUMBER(SEARCH(".txt",C1731)),"txt",IF(ISNUMBER(SEARCH(".tsf",C1731)),"tsf",IF(ISNUMBER(SEARCH(".sch",C1731)),"sch","ZIP oder R"))))))))))))))))</f>
        <v>png</v>
      </c>
    </row>
    <row r="1732" spans="1:4" x14ac:dyDescent="0.25">
      <c r="A1732" t="s">
        <v>1509</v>
      </c>
      <c r="B1732" t="s">
        <v>2291</v>
      </c>
      <c r="C1732" t="s">
        <v>1611</v>
      </c>
      <c r="D1732" t="str">
        <f t="shared" si="27"/>
        <v>png</v>
      </c>
    </row>
    <row r="1733" spans="1:4" x14ac:dyDescent="0.25">
      <c r="A1733" t="s">
        <v>1509</v>
      </c>
      <c r="B1733" t="s">
        <v>2291</v>
      </c>
      <c r="C1733" t="s">
        <v>1612</v>
      </c>
      <c r="D1733" t="str">
        <f t="shared" si="27"/>
        <v>png</v>
      </c>
    </row>
    <row r="1734" spans="1:4" x14ac:dyDescent="0.25">
      <c r="A1734" t="s">
        <v>1509</v>
      </c>
      <c r="B1734" t="s">
        <v>2291</v>
      </c>
      <c r="C1734" t="s">
        <v>1613</v>
      </c>
      <c r="D1734" t="str">
        <f t="shared" si="27"/>
        <v>png</v>
      </c>
    </row>
    <row r="1735" spans="1:4" x14ac:dyDescent="0.25">
      <c r="A1735" t="s">
        <v>1509</v>
      </c>
      <c r="B1735" t="s">
        <v>2291</v>
      </c>
      <c r="C1735" t="s">
        <v>1614</v>
      </c>
      <c r="D1735" t="str">
        <f t="shared" si="27"/>
        <v>png</v>
      </c>
    </row>
    <row r="1736" spans="1:4" x14ac:dyDescent="0.25">
      <c r="A1736" t="s">
        <v>1509</v>
      </c>
      <c r="B1736" t="s">
        <v>2291</v>
      </c>
      <c r="C1736" t="s">
        <v>1615</v>
      </c>
      <c r="D1736" t="str">
        <f t="shared" si="27"/>
        <v>png</v>
      </c>
    </row>
    <row r="1737" spans="1:4" x14ac:dyDescent="0.25">
      <c r="A1737" t="s">
        <v>1509</v>
      </c>
      <c r="B1737" t="s">
        <v>2291</v>
      </c>
      <c r="C1737" t="s">
        <v>1616</v>
      </c>
      <c r="D1737" t="str">
        <f t="shared" si="27"/>
        <v>png</v>
      </c>
    </row>
    <row r="1738" spans="1:4" x14ac:dyDescent="0.25">
      <c r="A1738" t="s">
        <v>1509</v>
      </c>
      <c r="B1738" t="s">
        <v>2291</v>
      </c>
      <c r="C1738" t="s">
        <v>1617</v>
      </c>
      <c r="D1738" t="str">
        <f t="shared" si="27"/>
        <v>png</v>
      </c>
    </row>
    <row r="1739" spans="1:4" x14ac:dyDescent="0.25">
      <c r="A1739" t="s">
        <v>1509</v>
      </c>
      <c r="B1739" t="s">
        <v>2291</v>
      </c>
      <c r="C1739" t="s">
        <v>1618</v>
      </c>
      <c r="D1739" t="str">
        <f t="shared" si="27"/>
        <v>png</v>
      </c>
    </row>
    <row r="1740" spans="1:4" x14ac:dyDescent="0.25">
      <c r="A1740" t="s">
        <v>1509</v>
      </c>
      <c r="B1740" t="s">
        <v>2291</v>
      </c>
      <c r="C1740" t="s">
        <v>1619</v>
      </c>
      <c r="D1740" t="str">
        <f t="shared" si="27"/>
        <v>png</v>
      </c>
    </row>
    <row r="1741" spans="1:4" x14ac:dyDescent="0.25">
      <c r="A1741" t="s">
        <v>1509</v>
      </c>
      <c r="B1741" t="s">
        <v>2291</v>
      </c>
      <c r="C1741" t="s">
        <v>1620</v>
      </c>
      <c r="D1741" t="str">
        <f t="shared" si="27"/>
        <v>png</v>
      </c>
    </row>
    <row r="1742" spans="1:4" x14ac:dyDescent="0.25">
      <c r="A1742" t="s">
        <v>1509</v>
      </c>
      <c r="B1742" t="s">
        <v>2291</v>
      </c>
      <c r="C1742" t="s">
        <v>1621</v>
      </c>
      <c r="D1742" t="str">
        <f t="shared" si="27"/>
        <v>png</v>
      </c>
    </row>
    <row r="1743" spans="1:4" x14ac:dyDescent="0.25">
      <c r="A1743" t="s">
        <v>1509</v>
      </c>
      <c r="B1743" t="s">
        <v>2291</v>
      </c>
      <c r="C1743" t="s">
        <v>1622</v>
      </c>
      <c r="D1743" t="str">
        <f t="shared" si="27"/>
        <v>png</v>
      </c>
    </row>
    <row r="1744" spans="1:4" x14ac:dyDescent="0.25">
      <c r="A1744" t="s">
        <v>1509</v>
      </c>
      <c r="B1744" t="s">
        <v>2291</v>
      </c>
      <c r="C1744" t="s">
        <v>1623</v>
      </c>
      <c r="D1744" t="str">
        <f t="shared" si="27"/>
        <v>png</v>
      </c>
    </row>
    <row r="1745" spans="1:4" x14ac:dyDescent="0.25">
      <c r="A1745" t="s">
        <v>1509</v>
      </c>
      <c r="B1745" t="s">
        <v>2291</v>
      </c>
      <c r="C1745" t="s">
        <v>1624</v>
      </c>
      <c r="D1745" t="str">
        <f t="shared" si="27"/>
        <v>png</v>
      </c>
    </row>
    <row r="1746" spans="1:4" x14ac:dyDescent="0.25">
      <c r="A1746" t="s">
        <v>1509</v>
      </c>
      <c r="B1746" t="s">
        <v>2291</v>
      </c>
      <c r="C1746" t="s">
        <v>1625</v>
      </c>
      <c r="D1746" t="str">
        <f t="shared" si="27"/>
        <v>png</v>
      </c>
    </row>
    <row r="1747" spans="1:4" x14ac:dyDescent="0.25">
      <c r="A1747" t="s">
        <v>1509</v>
      </c>
      <c r="B1747" t="s">
        <v>2291</v>
      </c>
      <c r="C1747" t="s">
        <v>1626</v>
      </c>
      <c r="D1747" t="str">
        <f t="shared" si="27"/>
        <v>png</v>
      </c>
    </row>
    <row r="1748" spans="1:4" x14ac:dyDescent="0.25">
      <c r="A1748" t="s">
        <v>1509</v>
      </c>
      <c r="B1748" t="s">
        <v>2291</v>
      </c>
      <c r="C1748" t="s">
        <v>1627</v>
      </c>
      <c r="D1748" t="str">
        <f t="shared" si="27"/>
        <v>png</v>
      </c>
    </row>
    <row r="1749" spans="1:4" x14ac:dyDescent="0.25">
      <c r="A1749" t="s">
        <v>1509</v>
      </c>
      <c r="B1749" t="s">
        <v>2291</v>
      </c>
      <c r="C1749" t="s">
        <v>1628</v>
      </c>
      <c r="D1749" t="str">
        <f t="shared" si="27"/>
        <v>png</v>
      </c>
    </row>
    <row r="1750" spans="1:4" x14ac:dyDescent="0.25">
      <c r="A1750" t="s">
        <v>1509</v>
      </c>
      <c r="B1750" t="s">
        <v>2291</v>
      </c>
      <c r="C1750" t="s">
        <v>1629</v>
      </c>
      <c r="D1750" t="str">
        <f t="shared" si="27"/>
        <v>png</v>
      </c>
    </row>
    <row r="1751" spans="1:4" x14ac:dyDescent="0.25">
      <c r="A1751" t="s">
        <v>1509</v>
      </c>
      <c r="B1751" t="s">
        <v>2291</v>
      </c>
      <c r="C1751" t="s">
        <v>1630</v>
      </c>
      <c r="D1751" t="str">
        <f t="shared" si="27"/>
        <v>png</v>
      </c>
    </row>
    <row r="1752" spans="1:4" x14ac:dyDescent="0.25">
      <c r="A1752" t="s">
        <v>1509</v>
      </c>
      <c r="B1752" t="s">
        <v>2291</v>
      </c>
      <c r="C1752" t="s">
        <v>1631</v>
      </c>
      <c r="D1752" t="str">
        <f t="shared" si="27"/>
        <v>png</v>
      </c>
    </row>
    <row r="1753" spans="1:4" x14ac:dyDescent="0.25">
      <c r="A1753" t="s">
        <v>1509</v>
      </c>
      <c r="B1753" t="s">
        <v>2291</v>
      </c>
      <c r="C1753" t="s">
        <v>1632</v>
      </c>
      <c r="D1753" t="str">
        <f t="shared" si="27"/>
        <v>png</v>
      </c>
    </row>
    <row r="1754" spans="1:4" x14ac:dyDescent="0.25">
      <c r="A1754" t="s">
        <v>1509</v>
      </c>
      <c r="B1754" t="s">
        <v>2291</v>
      </c>
      <c r="C1754" t="s">
        <v>1633</v>
      </c>
      <c r="D1754" t="str">
        <f t="shared" si="27"/>
        <v>png</v>
      </c>
    </row>
    <row r="1755" spans="1:4" x14ac:dyDescent="0.25">
      <c r="A1755" t="s">
        <v>1509</v>
      </c>
      <c r="B1755" t="s">
        <v>2291</v>
      </c>
      <c r="C1755" t="s">
        <v>1634</v>
      </c>
      <c r="D1755" t="str">
        <f t="shared" si="27"/>
        <v>png</v>
      </c>
    </row>
    <row r="1756" spans="1:4" x14ac:dyDescent="0.25">
      <c r="A1756" t="s">
        <v>1509</v>
      </c>
      <c r="B1756" t="s">
        <v>2291</v>
      </c>
      <c r="C1756" t="s">
        <v>1635</v>
      </c>
      <c r="D1756" t="str">
        <f t="shared" si="27"/>
        <v>png</v>
      </c>
    </row>
    <row r="1757" spans="1:4" x14ac:dyDescent="0.25">
      <c r="A1757" t="s">
        <v>1509</v>
      </c>
      <c r="B1757" t="s">
        <v>2291</v>
      </c>
      <c r="C1757" t="s">
        <v>1636</v>
      </c>
      <c r="D1757" t="str">
        <f t="shared" si="27"/>
        <v>png</v>
      </c>
    </row>
    <row r="1758" spans="1:4" x14ac:dyDescent="0.25">
      <c r="A1758" t="s">
        <v>1509</v>
      </c>
      <c r="B1758" t="s">
        <v>2291</v>
      </c>
      <c r="C1758" t="s">
        <v>1637</v>
      </c>
      <c r="D1758" t="str">
        <f t="shared" si="27"/>
        <v>png</v>
      </c>
    </row>
    <row r="1759" spans="1:4" x14ac:dyDescent="0.25">
      <c r="A1759" t="s">
        <v>1509</v>
      </c>
      <c r="B1759" t="s">
        <v>2291</v>
      </c>
      <c r="C1759" t="s">
        <v>1638</v>
      </c>
      <c r="D1759" t="str">
        <f t="shared" si="27"/>
        <v>png</v>
      </c>
    </row>
    <row r="1760" spans="1:4" x14ac:dyDescent="0.25">
      <c r="A1760" t="s">
        <v>1509</v>
      </c>
      <c r="B1760" t="s">
        <v>2291</v>
      </c>
      <c r="C1760" t="s">
        <v>1639</v>
      </c>
      <c r="D1760" t="str">
        <f t="shared" si="27"/>
        <v>png</v>
      </c>
    </row>
    <row r="1761" spans="1:4" x14ac:dyDescent="0.25">
      <c r="A1761" t="s">
        <v>1509</v>
      </c>
      <c r="B1761" t="s">
        <v>2291</v>
      </c>
      <c r="C1761" t="s">
        <v>1640</v>
      </c>
      <c r="D1761" t="str">
        <f t="shared" si="27"/>
        <v>png</v>
      </c>
    </row>
    <row r="1762" spans="1:4" x14ac:dyDescent="0.25">
      <c r="A1762" t="s">
        <v>1509</v>
      </c>
      <c r="B1762" t="s">
        <v>2291</v>
      </c>
      <c r="C1762" t="s">
        <v>1641</v>
      </c>
      <c r="D1762" t="str">
        <f t="shared" si="27"/>
        <v>png</v>
      </c>
    </row>
    <row r="1763" spans="1:4" x14ac:dyDescent="0.25">
      <c r="A1763" t="s">
        <v>1509</v>
      </c>
      <c r="B1763" t="s">
        <v>2291</v>
      </c>
      <c r="C1763" t="s">
        <v>1642</v>
      </c>
      <c r="D1763" t="str">
        <f t="shared" si="27"/>
        <v>png</v>
      </c>
    </row>
    <row r="1764" spans="1:4" x14ac:dyDescent="0.25">
      <c r="A1764" t="s">
        <v>1509</v>
      </c>
      <c r="B1764" t="s">
        <v>2291</v>
      </c>
      <c r="C1764" t="s">
        <v>1643</v>
      </c>
      <c r="D1764" t="str">
        <f t="shared" si="27"/>
        <v>png</v>
      </c>
    </row>
    <row r="1765" spans="1:4" x14ac:dyDescent="0.25">
      <c r="A1765" t="s">
        <v>1509</v>
      </c>
      <c r="B1765" t="s">
        <v>2291</v>
      </c>
      <c r="C1765" t="s">
        <v>1644</v>
      </c>
      <c r="D1765" t="str">
        <f t="shared" si="27"/>
        <v>png</v>
      </c>
    </row>
    <row r="1766" spans="1:4" x14ac:dyDescent="0.25">
      <c r="A1766" t="s">
        <v>1509</v>
      </c>
      <c r="B1766" t="s">
        <v>2291</v>
      </c>
      <c r="C1766" t="s">
        <v>1645</v>
      </c>
      <c r="D1766" t="str">
        <f t="shared" si="27"/>
        <v>png</v>
      </c>
    </row>
    <row r="1767" spans="1:4" x14ac:dyDescent="0.25">
      <c r="A1767" t="s">
        <v>1509</v>
      </c>
      <c r="B1767" t="s">
        <v>2291</v>
      </c>
      <c r="C1767" t="s">
        <v>1646</v>
      </c>
      <c r="D1767" t="str">
        <f t="shared" si="27"/>
        <v>png</v>
      </c>
    </row>
    <row r="1768" spans="1:4" x14ac:dyDescent="0.25">
      <c r="A1768" t="s">
        <v>1509</v>
      </c>
      <c r="B1768" t="s">
        <v>2291</v>
      </c>
      <c r="C1768" t="s">
        <v>1647</v>
      </c>
      <c r="D1768" t="str">
        <f t="shared" si="27"/>
        <v>png</v>
      </c>
    </row>
    <row r="1769" spans="1:4" x14ac:dyDescent="0.25">
      <c r="A1769" t="s">
        <v>1509</v>
      </c>
      <c r="B1769" t="s">
        <v>2291</v>
      </c>
      <c r="C1769" t="s">
        <v>1648</v>
      </c>
      <c r="D1769" t="str">
        <f t="shared" si="27"/>
        <v>png</v>
      </c>
    </row>
    <row r="1770" spans="1:4" x14ac:dyDescent="0.25">
      <c r="A1770" t="s">
        <v>1509</v>
      </c>
      <c r="B1770" t="s">
        <v>2291</v>
      </c>
      <c r="C1770" t="s">
        <v>1649</v>
      </c>
      <c r="D1770" t="str">
        <f t="shared" si="27"/>
        <v>png</v>
      </c>
    </row>
    <row r="1771" spans="1:4" x14ac:dyDescent="0.25">
      <c r="A1771" t="s">
        <v>1509</v>
      </c>
      <c r="B1771" t="s">
        <v>2291</v>
      </c>
      <c r="C1771" t="s">
        <v>1650</v>
      </c>
      <c r="D1771" t="str">
        <f t="shared" si="27"/>
        <v>png</v>
      </c>
    </row>
    <row r="1772" spans="1:4" x14ac:dyDescent="0.25">
      <c r="A1772" t="s">
        <v>1509</v>
      </c>
      <c r="B1772" t="s">
        <v>2291</v>
      </c>
      <c r="C1772" t="s">
        <v>1651</v>
      </c>
      <c r="D1772" t="str">
        <f t="shared" si="27"/>
        <v>png</v>
      </c>
    </row>
    <row r="1773" spans="1:4" x14ac:dyDescent="0.25">
      <c r="A1773" t="s">
        <v>1509</v>
      </c>
      <c r="B1773" t="s">
        <v>2291</v>
      </c>
      <c r="C1773" t="s">
        <v>1652</v>
      </c>
      <c r="D1773" t="str">
        <f t="shared" si="27"/>
        <v>png</v>
      </c>
    </row>
    <row r="1774" spans="1:4" x14ac:dyDescent="0.25">
      <c r="A1774" t="s">
        <v>1509</v>
      </c>
      <c r="B1774" t="s">
        <v>2291</v>
      </c>
      <c r="C1774" t="s">
        <v>1653</v>
      </c>
      <c r="D1774" t="str">
        <f t="shared" si="27"/>
        <v>png</v>
      </c>
    </row>
    <row r="1775" spans="1:4" x14ac:dyDescent="0.25">
      <c r="A1775" t="s">
        <v>1509</v>
      </c>
      <c r="B1775" t="s">
        <v>2291</v>
      </c>
      <c r="C1775" t="s">
        <v>1654</v>
      </c>
      <c r="D1775" t="str">
        <f t="shared" si="27"/>
        <v>png</v>
      </c>
    </row>
    <row r="1776" spans="1:4" x14ac:dyDescent="0.25">
      <c r="A1776" t="s">
        <v>1509</v>
      </c>
      <c r="B1776" t="s">
        <v>2291</v>
      </c>
      <c r="C1776" t="s">
        <v>1655</v>
      </c>
      <c r="D1776" t="str">
        <f t="shared" si="27"/>
        <v>png</v>
      </c>
    </row>
    <row r="1777" spans="1:4" x14ac:dyDescent="0.25">
      <c r="A1777" t="s">
        <v>1509</v>
      </c>
      <c r="B1777" t="s">
        <v>2291</v>
      </c>
      <c r="C1777" t="s">
        <v>1656</v>
      </c>
      <c r="D1777" t="str">
        <f t="shared" si="27"/>
        <v>png</v>
      </c>
    </row>
    <row r="1778" spans="1:4" x14ac:dyDescent="0.25">
      <c r="A1778" t="s">
        <v>1509</v>
      </c>
      <c r="B1778" t="s">
        <v>2291</v>
      </c>
      <c r="C1778" t="s">
        <v>1657</v>
      </c>
      <c r="D1778" t="str">
        <f t="shared" si="27"/>
        <v>png</v>
      </c>
    </row>
    <row r="1779" spans="1:4" x14ac:dyDescent="0.25">
      <c r="A1779" t="s">
        <v>1509</v>
      </c>
      <c r="B1779" t="s">
        <v>2291</v>
      </c>
      <c r="C1779" t="s">
        <v>1658</v>
      </c>
      <c r="D1779" t="str">
        <f t="shared" si="27"/>
        <v>png</v>
      </c>
    </row>
    <row r="1780" spans="1:4" x14ac:dyDescent="0.25">
      <c r="A1780" t="s">
        <v>1509</v>
      </c>
      <c r="B1780" t="s">
        <v>2291</v>
      </c>
      <c r="C1780" t="s">
        <v>1659</v>
      </c>
      <c r="D1780" t="str">
        <f t="shared" si="27"/>
        <v>png</v>
      </c>
    </row>
    <row r="1781" spans="1:4" x14ac:dyDescent="0.25">
      <c r="A1781" t="s">
        <v>1509</v>
      </c>
      <c r="B1781" t="s">
        <v>2291</v>
      </c>
      <c r="C1781" t="s">
        <v>1660</v>
      </c>
      <c r="D1781" t="str">
        <f t="shared" si="27"/>
        <v>png</v>
      </c>
    </row>
    <row r="1782" spans="1:4" x14ac:dyDescent="0.25">
      <c r="A1782" t="s">
        <v>1509</v>
      </c>
      <c r="B1782" t="s">
        <v>2291</v>
      </c>
      <c r="C1782" t="s">
        <v>1661</v>
      </c>
      <c r="D1782" t="str">
        <f t="shared" si="27"/>
        <v>png</v>
      </c>
    </row>
    <row r="1783" spans="1:4" x14ac:dyDescent="0.25">
      <c r="A1783" t="s">
        <v>1509</v>
      </c>
      <c r="B1783" t="s">
        <v>2291</v>
      </c>
      <c r="C1783" t="s">
        <v>1662</v>
      </c>
      <c r="D1783" t="str">
        <f t="shared" si="27"/>
        <v>png</v>
      </c>
    </row>
    <row r="1784" spans="1:4" x14ac:dyDescent="0.25">
      <c r="A1784" t="s">
        <v>1509</v>
      </c>
      <c r="B1784" t="s">
        <v>2291</v>
      </c>
      <c r="C1784" t="s">
        <v>1663</v>
      </c>
      <c r="D1784" t="str">
        <f t="shared" si="27"/>
        <v>png</v>
      </c>
    </row>
    <row r="1785" spans="1:4" x14ac:dyDescent="0.25">
      <c r="A1785" t="s">
        <v>1509</v>
      </c>
      <c r="B1785" t="s">
        <v>2291</v>
      </c>
      <c r="C1785" t="s">
        <v>1664</v>
      </c>
      <c r="D1785" t="str">
        <f t="shared" si="27"/>
        <v>png</v>
      </c>
    </row>
    <row r="1786" spans="1:4" x14ac:dyDescent="0.25">
      <c r="A1786" t="s">
        <v>1509</v>
      </c>
      <c r="B1786" t="s">
        <v>2291</v>
      </c>
      <c r="C1786" t="s">
        <v>1665</v>
      </c>
      <c r="D1786" t="str">
        <f t="shared" si="27"/>
        <v>png</v>
      </c>
    </row>
    <row r="1787" spans="1:4" x14ac:dyDescent="0.25">
      <c r="A1787" t="s">
        <v>1509</v>
      </c>
      <c r="B1787" t="s">
        <v>2291</v>
      </c>
      <c r="C1787" t="s">
        <v>1666</v>
      </c>
      <c r="D1787" t="str">
        <f t="shared" si="27"/>
        <v>png</v>
      </c>
    </row>
    <row r="1788" spans="1:4" x14ac:dyDescent="0.25">
      <c r="A1788" t="s">
        <v>1509</v>
      </c>
      <c r="B1788" t="s">
        <v>2291</v>
      </c>
      <c r="C1788" t="s">
        <v>1667</v>
      </c>
      <c r="D1788" t="str">
        <f t="shared" si="27"/>
        <v>png</v>
      </c>
    </row>
    <row r="1789" spans="1:4" x14ac:dyDescent="0.25">
      <c r="A1789" t="s">
        <v>1509</v>
      </c>
      <c r="B1789" t="s">
        <v>2291</v>
      </c>
      <c r="C1789" t="s">
        <v>1668</v>
      </c>
      <c r="D1789" t="str">
        <f t="shared" si="27"/>
        <v>png</v>
      </c>
    </row>
    <row r="1790" spans="1:4" x14ac:dyDescent="0.25">
      <c r="A1790" t="s">
        <v>1509</v>
      </c>
      <c r="B1790" t="s">
        <v>2291</v>
      </c>
      <c r="C1790" t="s">
        <v>1669</v>
      </c>
      <c r="D1790" t="str">
        <f t="shared" si="27"/>
        <v>png</v>
      </c>
    </row>
    <row r="1791" spans="1:4" x14ac:dyDescent="0.25">
      <c r="A1791" t="s">
        <v>1509</v>
      </c>
      <c r="B1791" t="s">
        <v>2291</v>
      </c>
      <c r="C1791" t="s">
        <v>1670</v>
      </c>
      <c r="D1791" t="str">
        <f t="shared" si="27"/>
        <v>png</v>
      </c>
    </row>
    <row r="1792" spans="1:4" x14ac:dyDescent="0.25">
      <c r="A1792" t="s">
        <v>1509</v>
      </c>
      <c r="B1792" t="s">
        <v>2291</v>
      </c>
      <c r="C1792" t="s">
        <v>1671</v>
      </c>
      <c r="D1792" t="str">
        <f t="shared" si="27"/>
        <v>png</v>
      </c>
    </row>
    <row r="1793" spans="1:4" x14ac:dyDescent="0.25">
      <c r="A1793" t="s">
        <v>1509</v>
      </c>
      <c r="B1793" t="s">
        <v>2291</v>
      </c>
      <c r="C1793" t="s">
        <v>1672</v>
      </c>
      <c r="D1793" t="str">
        <f t="shared" si="27"/>
        <v>png</v>
      </c>
    </row>
    <row r="1794" spans="1:4" x14ac:dyDescent="0.25">
      <c r="A1794" t="s">
        <v>1509</v>
      </c>
      <c r="B1794" t="s">
        <v>2291</v>
      </c>
      <c r="C1794" t="s">
        <v>1673</v>
      </c>
      <c r="D1794" t="str">
        <f t="shared" si="27"/>
        <v>png</v>
      </c>
    </row>
    <row r="1795" spans="1:4" x14ac:dyDescent="0.25">
      <c r="A1795" t="s">
        <v>1509</v>
      </c>
      <c r="B1795" t="s">
        <v>2291</v>
      </c>
      <c r="C1795" t="s">
        <v>1674</v>
      </c>
      <c r="D1795" t="str">
        <f t="shared" ref="D1795:D1858" si="28">IF(ISNUMBER(SEARCH(".pdf",C1795)),"pdf",IF(ISNUMBER(SEARCH(".tif",C1795)),"tif",IF(ISNUMBER(SEARCH(".las",C1795)),"las",IF(ISNUMBER(SEARCH(".sdg",C1795)),"sdg",IF(ISNUMBER(SEARCH(".xlsx",C1795)),"xlsx",IF(ISNUMBER(SEARCH(".docx",C1795)),"docx",IF(ISNUMBER(SEARCH(".rhistory",C1795)),"rhistory",IF(ISNUMBER(SEARCH(".db",C1795)),"db",IF(ISNUMBER(SEARCH(".jpg",C1795)),"jpg",IF(ISNUMBER(SEARCH(".png",C1795)),"png",IF(ISNUMBER(SEARCH(".mdb",C1795)),"mdb",IF(ISNUMBER(SEARCH(".xml",C1795)),"xml",IF(ISNUMBER(SEARCH(".xls",C1795)),"xls",IF(ISNUMBER(SEARCH(".txt",C1795)),"txt",IF(ISNUMBER(SEARCH(".tsf",C1795)),"tsf",IF(ISNUMBER(SEARCH(".sch",C1795)),"sch","ZIP oder R"))))))))))))))))</f>
        <v>png</v>
      </c>
    </row>
    <row r="1796" spans="1:4" x14ac:dyDescent="0.25">
      <c r="A1796" t="s">
        <v>1509</v>
      </c>
      <c r="B1796" t="s">
        <v>2291</v>
      </c>
      <c r="C1796" t="s">
        <v>1675</v>
      </c>
      <c r="D1796" t="str">
        <f t="shared" si="28"/>
        <v>png</v>
      </c>
    </row>
    <row r="1797" spans="1:4" x14ac:dyDescent="0.25">
      <c r="A1797" t="s">
        <v>1509</v>
      </c>
      <c r="B1797" t="s">
        <v>2291</v>
      </c>
      <c r="C1797" t="s">
        <v>1676</v>
      </c>
      <c r="D1797" t="str">
        <f t="shared" si="28"/>
        <v>png</v>
      </c>
    </row>
    <row r="1798" spans="1:4" x14ac:dyDescent="0.25">
      <c r="A1798" t="s">
        <v>1509</v>
      </c>
      <c r="B1798" t="s">
        <v>2291</v>
      </c>
      <c r="C1798" t="s">
        <v>1677</v>
      </c>
      <c r="D1798" t="str">
        <f t="shared" si="28"/>
        <v>png</v>
      </c>
    </row>
    <row r="1799" spans="1:4" x14ac:dyDescent="0.25">
      <c r="A1799" t="s">
        <v>1509</v>
      </c>
      <c r="B1799" t="s">
        <v>2291</v>
      </c>
      <c r="C1799" t="s">
        <v>1678</v>
      </c>
      <c r="D1799" t="str">
        <f t="shared" si="28"/>
        <v>png</v>
      </c>
    </row>
    <row r="1800" spans="1:4" x14ac:dyDescent="0.25">
      <c r="A1800" t="s">
        <v>1509</v>
      </c>
      <c r="B1800" t="s">
        <v>2291</v>
      </c>
      <c r="C1800" t="s">
        <v>1679</v>
      </c>
      <c r="D1800" t="str">
        <f t="shared" si="28"/>
        <v>png</v>
      </c>
    </row>
    <row r="1801" spans="1:4" x14ac:dyDescent="0.25">
      <c r="A1801" t="s">
        <v>1509</v>
      </c>
      <c r="B1801" t="s">
        <v>2291</v>
      </c>
      <c r="C1801" t="s">
        <v>1680</v>
      </c>
      <c r="D1801" t="str">
        <f t="shared" si="28"/>
        <v>png</v>
      </c>
    </row>
    <row r="1802" spans="1:4" x14ac:dyDescent="0.25">
      <c r="A1802" t="s">
        <v>1509</v>
      </c>
      <c r="B1802" t="s">
        <v>2291</v>
      </c>
      <c r="C1802" t="s">
        <v>1681</v>
      </c>
      <c r="D1802" t="str">
        <f t="shared" si="28"/>
        <v>png</v>
      </c>
    </row>
    <row r="1803" spans="1:4" x14ac:dyDescent="0.25">
      <c r="A1803" t="s">
        <v>1509</v>
      </c>
      <c r="B1803" t="s">
        <v>2291</v>
      </c>
      <c r="C1803" t="s">
        <v>1682</v>
      </c>
      <c r="D1803" t="str">
        <f t="shared" si="28"/>
        <v>png</v>
      </c>
    </row>
    <row r="1804" spans="1:4" x14ac:dyDescent="0.25">
      <c r="A1804" t="s">
        <v>1509</v>
      </c>
      <c r="B1804" t="s">
        <v>2291</v>
      </c>
      <c r="C1804" t="s">
        <v>1683</v>
      </c>
      <c r="D1804" t="str">
        <f t="shared" si="28"/>
        <v>png</v>
      </c>
    </row>
    <row r="1805" spans="1:4" x14ac:dyDescent="0.25">
      <c r="A1805" t="s">
        <v>1509</v>
      </c>
      <c r="B1805" t="s">
        <v>2291</v>
      </c>
      <c r="C1805" t="s">
        <v>1684</v>
      </c>
      <c r="D1805" t="str">
        <f t="shared" si="28"/>
        <v>png</v>
      </c>
    </row>
    <row r="1806" spans="1:4" x14ac:dyDescent="0.25">
      <c r="A1806" t="s">
        <v>1509</v>
      </c>
      <c r="B1806" t="s">
        <v>2291</v>
      </c>
      <c r="C1806" t="s">
        <v>1685</v>
      </c>
      <c r="D1806" t="str">
        <f t="shared" si="28"/>
        <v>png</v>
      </c>
    </row>
    <row r="1807" spans="1:4" x14ac:dyDescent="0.25">
      <c r="A1807" t="s">
        <v>1509</v>
      </c>
      <c r="B1807" t="s">
        <v>2291</v>
      </c>
      <c r="C1807" t="s">
        <v>1686</v>
      </c>
      <c r="D1807" t="str">
        <f t="shared" si="28"/>
        <v>png</v>
      </c>
    </row>
    <row r="1808" spans="1:4" x14ac:dyDescent="0.25">
      <c r="A1808" t="s">
        <v>1509</v>
      </c>
      <c r="B1808" t="s">
        <v>2291</v>
      </c>
      <c r="C1808" t="s">
        <v>1687</v>
      </c>
      <c r="D1808" t="str">
        <f t="shared" si="28"/>
        <v>png</v>
      </c>
    </row>
    <row r="1809" spans="1:4" x14ac:dyDescent="0.25">
      <c r="A1809" t="s">
        <v>1509</v>
      </c>
      <c r="B1809" t="s">
        <v>2291</v>
      </c>
      <c r="C1809" t="s">
        <v>1688</v>
      </c>
      <c r="D1809" t="str">
        <f t="shared" si="28"/>
        <v>png</v>
      </c>
    </row>
    <row r="1810" spans="1:4" x14ac:dyDescent="0.25">
      <c r="A1810" t="s">
        <v>1509</v>
      </c>
      <c r="B1810" t="s">
        <v>2291</v>
      </c>
      <c r="C1810" t="s">
        <v>1689</v>
      </c>
      <c r="D1810" t="str">
        <f t="shared" si="28"/>
        <v>png</v>
      </c>
    </row>
    <row r="1811" spans="1:4" x14ac:dyDescent="0.25">
      <c r="A1811" t="s">
        <v>1509</v>
      </c>
      <c r="B1811" t="s">
        <v>2291</v>
      </c>
      <c r="C1811" t="s">
        <v>1690</v>
      </c>
      <c r="D1811" t="str">
        <f t="shared" si="28"/>
        <v>png</v>
      </c>
    </row>
    <row r="1812" spans="1:4" x14ac:dyDescent="0.25">
      <c r="A1812" t="s">
        <v>1509</v>
      </c>
      <c r="B1812" t="s">
        <v>2291</v>
      </c>
      <c r="C1812" t="s">
        <v>1691</v>
      </c>
      <c r="D1812" t="str">
        <f t="shared" si="28"/>
        <v>png</v>
      </c>
    </row>
    <row r="1813" spans="1:4" x14ac:dyDescent="0.25">
      <c r="A1813" t="s">
        <v>1509</v>
      </c>
      <c r="B1813" t="s">
        <v>2291</v>
      </c>
      <c r="C1813" t="s">
        <v>1692</v>
      </c>
      <c r="D1813" t="str">
        <f t="shared" si="28"/>
        <v>png</v>
      </c>
    </row>
    <row r="1814" spans="1:4" x14ac:dyDescent="0.25">
      <c r="A1814" t="s">
        <v>1509</v>
      </c>
      <c r="B1814" t="s">
        <v>2291</v>
      </c>
      <c r="C1814" t="s">
        <v>1693</v>
      </c>
      <c r="D1814" t="str">
        <f t="shared" si="28"/>
        <v>png</v>
      </c>
    </row>
    <row r="1815" spans="1:4" x14ac:dyDescent="0.25">
      <c r="A1815" t="s">
        <v>1509</v>
      </c>
      <c r="B1815" t="s">
        <v>2291</v>
      </c>
      <c r="C1815" t="s">
        <v>1694</v>
      </c>
      <c r="D1815" t="str">
        <f t="shared" si="28"/>
        <v>png</v>
      </c>
    </row>
    <row r="1816" spans="1:4" x14ac:dyDescent="0.25">
      <c r="A1816" t="s">
        <v>1509</v>
      </c>
      <c r="B1816" t="s">
        <v>2291</v>
      </c>
      <c r="C1816" t="s">
        <v>1695</v>
      </c>
      <c r="D1816" t="str">
        <f t="shared" si="28"/>
        <v>png</v>
      </c>
    </row>
    <row r="1817" spans="1:4" x14ac:dyDescent="0.25">
      <c r="A1817" t="s">
        <v>1509</v>
      </c>
      <c r="B1817" t="s">
        <v>2291</v>
      </c>
      <c r="C1817" t="s">
        <v>1696</v>
      </c>
      <c r="D1817" t="str">
        <f t="shared" si="28"/>
        <v>png</v>
      </c>
    </row>
    <row r="1818" spans="1:4" x14ac:dyDescent="0.25">
      <c r="A1818" t="s">
        <v>1509</v>
      </c>
      <c r="B1818" t="s">
        <v>2291</v>
      </c>
      <c r="C1818" t="s">
        <v>1697</v>
      </c>
      <c r="D1818" t="str">
        <f t="shared" si="28"/>
        <v>png</v>
      </c>
    </row>
    <row r="1819" spans="1:4" x14ac:dyDescent="0.25">
      <c r="A1819" t="s">
        <v>1509</v>
      </c>
      <c r="B1819" t="s">
        <v>2291</v>
      </c>
      <c r="C1819" t="s">
        <v>1698</v>
      </c>
      <c r="D1819" t="str">
        <f t="shared" si="28"/>
        <v>png</v>
      </c>
    </row>
    <row r="1820" spans="1:4" x14ac:dyDescent="0.25">
      <c r="A1820" t="s">
        <v>1509</v>
      </c>
      <c r="B1820" t="s">
        <v>2291</v>
      </c>
      <c r="C1820" t="s">
        <v>1699</v>
      </c>
      <c r="D1820" t="str">
        <f t="shared" si="28"/>
        <v>png</v>
      </c>
    </row>
    <row r="1821" spans="1:4" x14ac:dyDescent="0.25">
      <c r="A1821" t="s">
        <v>1509</v>
      </c>
      <c r="B1821" t="s">
        <v>2291</v>
      </c>
      <c r="C1821" t="s">
        <v>1700</v>
      </c>
      <c r="D1821" t="str">
        <f t="shared" si="28"/>
        <v>png</v>
      </c>
    </row>
    <row r="1822" spans="1:4" x14ac:dyDescent="0.25">
      <c r="A1822" t="s">
        <v>1509</v>
      </c>
      <c r="B1822" t="s">
        <v>2291</v>
      </c>
      <c r="C1822" t="s">
        <v>1701</v>
      </c>
      <c r="D1822" t="str">
        <f t="shared" si="28"/>
        <v>png</v>
      </c>
    </row>
    <row r="1823" spans="1:4" x14ac:dyDescent="0.25">
      <c r="A1823" t="s">
        <v>1509</v>
      </c>
      <c r="B1823" t="s">
        <v>2291</v>
      </c>
      <c r="C1823" t="s">
        <v>1702</v>
      </c>
      <c r="D1823" t="str">
        <f t="shared" si="28"/>
        <v>png</v>
      </c>
    </row>
    <row r="1824" spans="1:4" x14ac:dyDescent="0.25">
      <c r="A1824" t="s">
        <v>1509</v>
      </c>
      <c r="B1824" t="s">
        <v>2291</v>
      </c>
      <c r="C1824" t="s">
        <v>1703</v>
      </c>
      <c r="D1824" t="str">
        <f t="shared" si="28"/>
        <v>png</v>
      </c>
    </row>
    <row r="1825" spans="1:4" x14ac:dyDescent="0.25">
      <c r="A1825" t="s">
        <v>1509</v>
      </c>
      <c r="B1825" t="s">
        <v>2291</v>
      </c>
      <c r="C1825" t="s">
        <v>1704</v>
      </c>
      <c r="D1825" t="str">
        <f t="shared" si="28"/>
        <v>png</v>
      </c>
    </row>
    <row r="1826" spans="1:4" x14ac:dyDescent="0.25">
      <c r="A1826" t="s">
        <v>1509</v>
      </c>
      <c r="B1826" t="s">
        <v>2291</v>
      </c>
      <c r="C1826" t="s">
        <v>1705</v>
      </c>
      <c r="D1826" t="str">
        <f t="shared" si="28"/>
        <v>png</v>
      </c>
    </row>
    <row r="1827" spans="1:4" x14ac:dyDescent="0.25">
      <c r="A1827" t="s">
        <v>1509</v>
      </c>
      <c r="B1827" t="s">
        <v>2291</v>
      </c>
      <c r="C1827" t="s">
        <v>1706</v>
      </c>
      <c r="D1827" t="str">
        <f t="shared" si="28"/>
        <v>png</v>
      </c>
    </row>
    <row r="1828" spans="1:4" x14ac:dyDescent="0.25">
      <c r="A1828" t="s">
        <v>1509</v>
      </c>
      <c r="B1828" t="s">
        <v>2291</v>
      </c>
      <c r="C1828" t="s">
        <v>1707</v>
      </c>
      <c r="D1828" t="str">
        <f t="shared" si="28"/>
        <v>png</v>
      </c>
    </row>
    <row r="1829" spans="1:4" x14ac:dyDescent="0.25">
      <c r="A1829" t="s">
        <v>1509</v>
      </c>
      <c r="B1829" t="s">
        <v>2291</v>
      </c>
      <c r="C1829" t="s">
        <v>1708</v>
      </c>
      <c r="D1829" t="str">
        <f t="shared" si="28"/>
        <v>png</v>
      </c>
    </row>
    <row r="1830" spans="1:4" x14ac:dyDescent="0.25">
      <c r="A1830" t="s">
        <v>1509</v>
      </c>
      <c r="B1830" t="s">
        <v>2291</v>
      </c>
      <c r="C1830" t="s">
        <v>1709</v>
      </c>
      <c r="D1830" t="str">
        <f t="shared" si="28"/>
        <v>png</v>
      </c>
    </row>
    <row r="1831" spans="1:4" x14ac:dyDescent="0.25">
      <c r="A1831" t="s">
        <v>1509</v>
      </c>
      <c r="B1831" t="s">
        <v>2291</v>
      </c>
      <c r="C1831" t="s">
        <v>1710</v>
      </c>
      <c r="D1831" t="str">
        <f t="shared" si="28"/>
        <v>png</v>
      </c>
    </row>
    <row r="1832" spans="1:4" x14ac:dyDescent="0.25">
      <c r="A1832" t="s">
        <v>1509</v>
      </c>
      <c r="B1832" t="s">
        <v>2291</v>
      </c>
      <c r="C1832" t="s">
        <v>1711</v>
      </c>
      <c r="D1832" t="str">
        <f t="shared" si="28"/>
        <v>png</v>
      </c>
    </row>
    <row r="1833" spans="1:4" x14ac:dyDescent="0.25">
      <c r="A1833" t="s">
        <v>1509</v>
      </c>
      <c r="B1833" t="s">
        <v>2291</v>
      </c>
      <c r="C1833" t="s">
        <v>1712</v>
      </c>
      <c r="D1833" t="str">
        <f t="shared" si="28"/>
        <v>png</v>
      </c>
    </row>
    <row r="1834" spans="1:4" x14ac:dyDescent="0.25">
      <c r="A1834" t="s">
        <v>1509</v>
      </c>
      <c r="B1834" t="s">
        <v>2291</v>
      </c>
      <c r="C1834" t="s">
        <v>1713</v>
      </c>
      <c r="D1834" t="str">
        <f t="shared" si="28"/>
        <v>png</v>
      </c>
    </row>
    <row r="1835" spans="1:4" x14ac:dyDescent="0.25">
      <c r="A1835" t="s">
        <v>1509</v>
      </c>
      <c r="B1835" t="s">
        <v>2291</v>
      </c>
      <c r="C1835" t="s">
        <v>1714</v>
      </c>
      <c r="D1835" t="str">
        <f t="shared" si="28"/>
        <v>png</v>
      </c>
    </row>
    <row r="1836" spans="1:4" x14ac:dyDescent="0.25">
      <c r="A1836" t="s">
        <v>1509</v>
      </c>
      <c r="B1836" t="s">
        <v>2291</v>
      </c>
      <c r="C1836" t="s">
        <v>1715</v>
      </c>
      <c r="D1836" t="str">
        <f t="shared" si="28"/>
        <v>png</v>
      </c>
    </row>
    <row r="1837" spans="1:4" x14ac:dyDescent="0.25">
      <c r="A1837" t="s">
        <v>1509</v>
      </c>
      <c r="B1837" t="s">
        <v>2291</v>
      </c>
      <c r="C1837" t="s">
        <v>1716</v>
      </c>
      <c r="D1837" t="str">
        <f t="shared" si="28"/>
        <v>png</v>
      </c>
    </row>
    <row r="1838" spans="1:4" x14ac:dyDescent="0.25">
      <c r="A1838" t="s">
        <v>1509</v>
      </c>
      <c r="B1838" t="s">
        <v>2291</v>
      </c>
      <c r="C1838" t="s">
        <v>1717</v>
      </c>
      <c r="D1838" t="str">
        <f t="shared" si="28"/>
        <v>png</v>
      </c>
    </row>
    <row r="1839" spans="1:4" x14ac:dyDescent="0.25">
      <c r="A1839" t="s">
        <v>1509</v>
      </c>
      <c r="B1839" t="s">
        <v>2291</v>
      </c>
      <c r="C1839" t="s">
        <v>1718</v>
      </c>
      <c r="D1839" t="str">
        <f t="shared" si="28"/>
        <v>png</v>
      </c>
    </row>
    <row r="1840" spans="1:4" x14ac:dyDescent="0.25">
      <c r="A1840" t="s">
        <v>1509</v>
      </c>
      <c r="B1840" t="s">
        <v>2291</v>
      </c>
      <c r="C1840" t="s">
        <v>1719</v>
      </c>
      <c r="D1840" t="str">
        <f t="shared" si="28"/>
        <v>png</v>
      </c>
    </row>
    <row r="1841" spans="1:4" x14ac:dyDescent="0.25">
      <c r="A1841" t="s">
        <v>1509</v>
      </c>
      <c r="B1841" t="s">
        <v>2291</v>
      </c>
      <c r="C1841" t="s">
        <v>1720</v>
      </c>
      <c r="D1841" t="str">
        <f t="shared" si="28"/>
        <v>png</v>
      </c>
    </row>
    <row r="1842" spans="1:4" x14ac:dyDescent="0.25">
      <c r="A1842" t="s">
        <v>1509</v>
      </c>
      <c r="B1842" t="s">
        <v>2291</v>
      </c>
      <c r="C1842" t="s">
        <v>1721</v>
      </c>
      <c r="D1842" t="str">
        <f t="shared" si="28"/>
        <v>png</v>
      </c>
    </row>
    <row r="1843" spans="1:4" x14ac:dyDescent="0.25">
      <c r="A1843" t="s">
        <v>1509</v>
      </c>
      <c r="B1843" t="s">
        <v>2291</v>
      </c>
      <c r="C1843" t="s">
        <v>1722</v>
      </c>
      <c r="D1843" t="str">
        <f t="shared" si="28"/>
        <v>png</v>
      </c>
    </row>
    <row r="1844" spans="1:4" x14ac:dyDescent="0.25">
      <c r="A1844" t="s">
        <v>1509</v>
      </c>
      <c r="B1844" t="s">
        <v>2291</v>
      </c>
      <c r="C1844" t="s">
        <v>1723</v>
      </c>
      <c r="D1844" t="str">
        <f t="shared" si="28"/>
        <v>png</v>
      </c>
    </row>
    <row r="1845" spans="1:4" x14ac:dyDescent="0.25">
      <c r="A1845" t="s">
        <v>1509</v>
      </c>
      <c r="B1845" t="s">
        <v>2291</v>
      </c>
      <c r="C1845" t="s">
        <v>1724</v>
      </c>
      <c r="D1845" t="str">
        <f t="shared" si="28"/>
        <v>png</v>
      </c>
    </row>
    <row r="1846" spans="1:4" x14ac:dyDescent="0.25">
      <c r="A1846" t="s">
        <v>1509</v>
      </c>
      <c r="B1846" t="s">
        <v>2291</v>
      </c>
      <c r="C1846" t="s">
        <v>1725</v>
      </c>
      <c r="D1846" t="str">
        <f t="shared" si="28"/>
        <v>png</v>
      </c>
    </row>
    <row r="1847" spans="1:4" x14ac:dyDescent="0.25">
      <c r="A1847" t="s">
        <v>1509</v>
      </c>
      <c r="B1847" t="s">
        <v>2291</v>
      </c>
      <c r="C1847" t="s">
        <v>1726</v>
      </c>
      <c r="D1847" t="str">
        <f t="shared" si="28"/>
        <v>png</v>
      </c>
    </row>
    <row r="1848" spans="1:4" x14ac:dyDescent="0.25">
      <c r="A1848" t="s">
        <v>1509</v>
      </c>
      <c r="B1848" t="s">
        <v>2291</v>
      </c>
      <c r="C1848" t="s">
        <v>1727</v>
      </c>
      <c r="D1848" t="str">
        <f t="shared" si="28"/>
        <v>png</v>
      </c>
    </row>
    <row r="1849" spans="1:4" x14ac:dyDescent="0.25">
      <c r="A1849" t="s">
        <v>1509</v>
      </c>
      <c r="B1849" t="s">
        <v>2291</v>
      </c>
      <c r="C1849" t="s">
        <v>1728</v>
      </c>
      <c r="D1849" t="str">
        <f t="shared" si="28"/>
        <v>png</v>
      </c>
    </row>
    <row r="1850" spans="1:4" x14ac:dyDescent="0.25">
      <c r="A1850" t="s">
        <v>1509</v>
      </c>
      <c r="B1850" t="s">
        <v>2291</v>
      </c>
      <c r="C1850" t="s">
        <v>1729</v>
      </c>
      <c r="D1850" t="str">
        <f t="shared" si="28"/>
        <v>png</v>
      </c>
    </row>
    <row r="1851" spans="1:4" x14ac:dyDescent="0.25">
      <c r="A1851" t="s">
        <v>1509</v>
      </c>
      <c r="B1851" t="s">
        <v>2291</v>
      </c>
      <c r="C1851" t="s">
        <v>1730</v>
      </c>
      <c r="D1851" t="str">
        <f t="shared" si="28"/>
        <v>png</v>
      </c>
    </row>
    <row r="1852" spans="1:4" x14ac:dyDescent="0.25">
      <c r="A1852" t="s">
        <v>1509</v>
      </c>
      <c r="B1852" t="s">
        <v>2291</v>
      </c>
      <c r="C1852" t="s">
        <v>1731</v>
      </c>
      <c r="D1852" t="str">
        <f t="shared" si="28"/>
        <v>png</v>
      </c>
    </row>
    <row r="1853" spans="1:4" x14ac:dyDescent="0.25">
      <c r="A1853" t="s">
        <v>1509</v>
      </c>
      <c r="B1853" t="s">
        <v>2291</v>
      </c>
      <c r="C1853" t="s">
        <v>1732</v>
      </c>
      <c r="D1853" t="str">
        <f t="shared" si="28"/>
        <v>png</v>
      </c>
    </row>
    <row r="1854" spans="1:4" x14ac:dyDescent="0.25">
      <c r="A1854" t="s">
        <v>1509</v>
      </c>
      <c r="B1854" t="s">
        <v>2291</v>
      </c>
      <c r="C1854" t="s">
        <v>1733</v>
      </c>
      <c r="D1854" t="str">
        <f t="shared" si="28"/>
        <v>png</v>
      </c>
    </row>
    <row r="1855" spans="1:4" x14ac:dyDescent="0.25">
      <c r="A1855" t="s">
        <v>1509</v>
      </c>
      <c r="B1855" t="s">
        <v>2291</v>
      </c>
      <c r="C1855" t="s">
        <v>1734</v>
      </c>
      <c r="D1855" t="str">
        <f t="shared" si="28"/>
        <v>png</v>
      </c>
    </row>
    <row r="1856" spans="1:4" x14ac:dyDescent="0.25">
      <c r="A1856" t="s">
        <v>1509</v>
      </c>
      <c r="B1856" t="s">
        <v>2291</v>
      </c>
      <c r="C1856" t="s">
        <v>1735</v>
      </c>
      <c r="D1856" t="str">
        <f t="shared" si="28"/>
        <v>png</v>
      </c>
    </row>
    <row r="1857" spans="1:4" x14ac:dyDescent="0.25">
      <c r="A1857" t="s">
        <v>1509</v>
      </c>
      <c r="B1857" t="s">
        <v>2291</v>
      </c>
      <c r="C1857" t="s">
        <v>1736</v>
      </c>
      <c r="D1857" t="str">
        <f t="shared" si="28"/>
        <v>png</v>
      </c>
    </row>
    <row r="1858" spans="1:4" x14ac:dyDescent="0.25">
      <c r="A1858" t="s">
        <v>1509</v>
      </c>
      <c r="B1858" t="s">
        <v>2291</v>
      </c>
      <c r="C1858" t="s">
        <v>1737</v>
      </c>
      <c r="D1858" t="str">
        <f t="shared" si="28"/>
        <v>png</v>
      </c>
    </row>
    <row r="1859" spans="1:4" x14ac:dyDescent="0.25">
      <c r="A1859" t="s">
        <v>1509</v>
      </c>
      <c r="B1859" t="s">
        <v>2291</v>
      </c>
      <c r="C1859" t="s">
        <v>1738</v>
      </c>
      <c r="D1859" t="str">
        <f t="shared" ref="D1859:D1922" si="29">IF(ISNUMBER(SEARCH(".pdf",C1859)),"pdf",IF(ISNUMBER(SEARCH(".tif",C1859)),"tif",IF(ISNUMBER(SEARCH(".las",C1859)),"las",IF(ISNUMBER(SEARCH(".sdg",C1859)),"sdg",IF(ISNUMBER(SEARCH(".xlsx",C1859)),"xlsx",IF(ISNUMBER(SEARCH(".docx",C1859)),"docx",IF(ISNUMBER(SEARCH(".rhistory",C1859)),"rhistory",IF(ISNUMBER(SEARCH(".db",C1859)),"db",IF(ISNUMBER(SEARCH(".jpg",C1859)),"jpg",IF(ISNUMBER(SEARCH(".png",C1859)),"png",IF(ISNUMBER(SEARCH(".mdb",C1859)),"mdb",IF(ISNUMBER(SEARCH(".xml",C1859)),"xml",IF(ISNUMBER(SEARCH(".xls",C1859)),"xls",IF(ISNUMBER(SEARCH(".txt",C1859)),"txt",IF(ISNUMBER(SEARCH(".tsf",C1859)),"tsf",IF(ISNUMBER(SEARCH(".sch",C1859)),"sch","ZIP oder R"))))))))))))))))</f>
        <v>png</v>
      </c>
    </row>
    <row r="1860" spans="1:4" x14ac:dyDescent="0.25">
      <c r="A1860" t="s">
        <v>1509</v>
      </c>
      <c r="B1860" t="s">
        <v>2291</v>
      </c>
      <c r="C1860" t="s">
        <v>1739</v>
      </c>
      <c r="D1860" t="str">
        <f t="shared" si="29"/>
        <v>png</v>
      </c>
    </row>
    <row r="1861" spans="1:4" x14ac:dyDescent="0.25">
      <c r="A1861" t="s">
        <v>1509</v>
      </c>
      <c r="B1861" t="s">
        <v>2291</v>
      </c>
      <c r="C1861" t="s">
        <v>1740</v>
      </c>
      <c r="D1861" t="str">
        <f t="shared" si="29"/>
        <v>png</v>
      </c>
    </row>
    <row r="1862" spans="1:4" x14ac:dyDescent="0.25">
      <c r="A1862" t="s">
        <v>1509</v>
      </c>
      <c r="B1862" t="s">
        <v>2291</v>
      </c>
      <c r="C1862" t="s">
        <v>1741</v>
      </c>
      <c r="D1862" t="str">
        <f t="shared" si="29"/>
        <v>png</v>
      </c>
    </row>
    <row r="1863" spans="1:4" x14ac:dyDescent="0.25">
      <c r="A1863" t="s">
        <v>1509</v>
      </c>
      <c r="B1863" t="s">
        <v>2291</v>
      </c>
      <c r="C1863" t="s">
        <v>1742</v>
      </c>
      <c r="D1863" t="str">
        <f t="shared" si="29"/>
        <v>png</v>
      </c>
    </row>
    <row r="1864" spans="1:4" x14ac:dyDescent="0.25">
      <c r="A1864" t="s">
        <v>1509</v>
      </c>
      <c r="B1864" t="s">
        <v>2291</v>
      </c>
      <c r="C1864" t="s">
        <v>1743</v>
      </c>
      <c r="D1864" t="str">
        <f t="shared" si="29"/>
        <v>png</v>
      </c>
    </row>
    <row r="1865" spans="1:4" x14ac:dyDescent="0.25">
      <c r="A1865" t="s">
        <v>1509</v>
      </c>
      <c r="B1865" t="s">
        <v>2291</v>
      </c>
      <c r="C1865" t="s">
        <v>1744</v>
      </c>
      <c r="D1865" t="str">
        <f t="shared" si="29"/>
        <v>png</v>
      </c>
    </row>
    <row r="1866" spans="1:4" x14ac:dyDescent="0.25">
      <c r="A1866" t="s">
        <v>1509</v>
      </c>
      <c r="B1866" t="s">
        <v>2291</v>
      </c>
      <c r="C1866" t="s">
        <v>1745</v>
      </c>
      <c r="D1866" t="str">
        <f t="shared" si="29"/>
        <v>png</v>
      </c>
    </row>
    <row r="1867" spans="1:4" x14ac:dyDescent="0.25">
      <c r="A1867" t="s">
        <v>1509</v>
      </c>
      <c r="B1867" t="s">
        <v>2291</v>
      </c>
      <c r="C1867" t="s">
        <v>1746</v>
      </c>
      <c r="D1867" t="str">
        <f t="shared" si="29"/>
        <v>png</v>
      </c>
    </row>
    <row r="1868" spans="1:4" x14ac:dyDescent="0.25">
      <c r="A1868" t="s">
        <v>1509</v>
      </c>
      <c r="B1868" t="s">
        <v>2291</v>
      </c>
      <c r="C1868" t="s">
        <v>1747</v>
      </c>
      <c r="D1868" t="str">
        <f t="shared" si="29"/>
        <v>png</v>
      </c>
    </row>
    <row r="1869" spans="1:4" x14ac:dyDescent="0.25">
      <c r="A1869" t="s">
        <v>1509</v>
      </c>
      <c r="B1869" t="s">
        <v>2291</v>
      </c>
      <c r="C1869" t="s">
        <v>1748</v>
      </c>
      <c r="D1869" t="str">
        <f t="shared" si="29"/>
        <v>png</v>
      </c>
    </row>
    <row r="1870" spans="1:4" x14ac:dyDescent="0.25">
      <c r="A1870" t="s">
        <v>1509</v>
      </c>
      <c r="B1870" t="s">
        <v>2291</v>
      </c>
      <c r="C1870" t="s">
        <v>1749</v>
      </c>
      <c r="D1870" t="str">
        <f t="shared" si="29"/>
        <v>png</v>
      </c>
    </row>
    <row r="1871" spans="1:4" x14ac:dyDescent="0.25">
      <c r="A1871" t="s">
        <v>1509</v>
      </c>
      <c r="B1871" t="s">
        <v>2291</v>
      </c>
      <c r="C1871" t="s">
        <v>1750</v>
      </c>
      <c r="D1871" t="str">
        <f t="shared" si="29"/>
        <v>png</v>
      </c>
    </row>
    <row r="1872" spans="1:4" x14ac:dyDescent="0.25">
      <c r="A1872" t="s">
        <v>1509</v>
      </c>
      <c r="B1872" t="s">
        <v>2291</v>
      </c>
      <c r="C1872" t="s">
        <v>1751</v>
      </c>
      <c r="D1872" t="str">
        <f t="shared" si="29"/>
        <v>png</v>
      </c>
    </row>
    <row r="1873" spans="1:4" x14ac:dyDescent="0.25">
      <c r="A1873" t="s">
        <v>1509</v>
      </c>
      <c r="B1873" t="s">
        <v>2291</v>
      </c>
      <c r="C1873" t="s">
        <v>1752</v>
      </c>
      <c r="D1873" t="str">
        <f t="shared" si="29"/>
        <v>png</v>
      </c>
    </row>
    <row r="1874" spans="1:4" x14ac:dyDescent="0.25">
      <c r="A1874" t="s">
        <v>1509</v>
      </c>
      <c r="B1874" t="s">
        <v>2291</v>
      </c>
      <c r="C1874" t="s">
        <v>1753</v>
      </c>
      <c r="D1874" t="str">
        <f t="shared" si="29"/>
        <v>png</v>
      </c>
    </row>
    <row r="1875" spans="1:4" x14ac:dyDescent="0.25">
      <c r="A1875" t="s">
        <v>1509</v>
      </c>
      <c r="B1875" t="s">
        <v>2291</v>
      </c>
      <c r="C1875" t="s">
        <v>1754</v>
      </c>
      <c r="D1875" t="str">
        <f t="shared" si="29"/>
        <v>png</v>
      </c>
    </row>
    <row r="1876" spans="1:4" x14ac:dyDescent="0.25">
      <c r="A1876" t="s">
        <v>1509</v>
      </c>
      <c r="B1876" t="s">
        <v>2291</v>
      </c>
      <c r="C1876" t="s">
        <v>1755</v>
      </c>
      <c r="D1876" t="str">
        <f t="shared" si="29"/>
        <v>png</v>
      </c>
    </row>
    <row r="1877" spans="1:4" x14ac:dyDescent="0.25">
      <c r="A1877" t="s">
        <v>1509</v>
      </c>
      <c r="B1877" t="s">
        <v>2291</v>
      </c>
      <c r="C1877" t="s">
        <v>1756</v>
      </c>
      <c r="D1877" t="str">
        <f t="shared" si="29"/>
        <v>png</v>
      </c>
    </row>
    <row r="1878" spans="1:4" x14ac:dyDescent="0.25">
      <c r="A1878" t="s">
        <v>1509</v>
      </c>
      <c r="B1878" t="s">
        <v>2291</v>
      </c>
      <c r="C1878" t="s">
        <v>1757</v>
      </c>
      <c r="D1878" t="str">
        <f t="shared" si="29"/>
        <v>png</v>
      </c>
    </row>
    <row r="1879" spans="1:4" x14ac:dyDescent="0.25">
      <c r="A1879" t="s">
        <v>1509</v>
      </c>
      <c r="B1879" t="s">
        <v>2291</v>
      </c>
      <c r="C1879" t="s">
        <v>1758</v>
      </c>
      <c r="D1879" t="str">
        <f t="shared" si="29"/>
        <v>png</v>
      </c>
    </row>
    <row r="1880" spans="1:4" x14ac:dyDescent="0.25">
      <c r="A1880" t="s">
        <v>1509</v>
      </c>
      <c r="B1880" t="s">
        <v>2291</v>
      </c>
      <c r="C1880" t="s">
        <v>1759</v>
      </c>
      <c r="D1880" t="str">
        <f t="shared" si="29"/>
        <v>png</v>
      </c>
    </row>
    <row r="1881" spans="1:4" x14ac:dyDescent="0.25">
      <c r="A1881" t="s">
        <v>1509</v>
      </c>
      <c r="B1881" t="s">
        <v>2291</v>
      </c>
      <c r="C1881" t="s">
        <v>1760</v>
      </c>
      <c r="D1881" t="str">
        <f t="shared" si="29"/>
        <v>png</v>
      </c>
    </row>
    <row r="1882" spans="1:4" x14ac:dyDescent="0.25">
      <c r="A1882" t="s">
        <v>1509</v>
      </c>
      <c r="B1882" t="s">
        <v>2291</v>
      </c>
      <c r="C1882" t="s">
        <v>1761</v>
      </c>
      <c r="D1882" t="str">
        <f t="shared" si="29"/>
        <v>png</v>
      </c>
    </row>
    <row r="1883" spans="1:4" x14ac:dyDescent="0.25">
      <c r="A1883" t="s">
        <v>1509</v>
      </c>
      <c r="B1883" t="s">
        <v>2291</v>
      </c>
      <c r="C1883" t="s">
        <v>1762</v>
      </c>
      <c r="D1883" t="str">
        <f t="shared" si="29"/>
        <v>png</v>
      </c>
    </row>
    <row r="1884" spans="1:4" x14ac:dyDescent="0.25">
      <c r="A1884" t="s">
        <v>1509</v>
      </c>
      <c r="B1884" t="s">
        <v>2291</v>
      </c>
      <c r="C1884" t="s">
        <v>1763</v>
      </c>
      <c r="D1884" t="str">
        <f t="shared" si="29"/>
        <v>png</v>
      </c>
    </row>
    <row r="1885" spans="1:4" x14ac:dyDescent="0.25">
      <c r="A1885" t="s">
        <v>1509</v>
      </c>
      <c r="B1885" t="s">
        <v>2291</v>
      </c>
      <c r="C1885" t="s">
        <v>1764</v>
      </c>
      <c r="D1885" t="str">
        <f t="shared" si="29"/>
        <v>png</v>
      </c>
    </row>
    <row r="1886" spans="1:4" x14ac:dyDescent="0.25">
      <c r="A1886" t="s">
        <v>1509</v>
      </c>
      <c r="B1886" t="s">
        <v>2291</v>
      </c>
      <c r="C1886" t="s">
        <v>1765</v>
      </c>
      <c r="D1886" t="str">
        <f t="shared" si="29"/>
        <v>png</v>
      </c>
    </row>
    <row r="1887" spans="1:4" x14ac:dyDescent="0.25">
      <c r="A1887" t="s">
        <v>1509</v>
      </c>
      <c r="B1887" t="s">
        <v>2291</v>
      </c>
      <c r="C1887" t="s">
        <v>1766</v>
      </c>
      <c r="D1887" t="str">
        <f t="shared" si="29"/>
        <v>png</v>
      </c>
    </row>
    <row r="1888" spans="1:4" x14ac:dyDescent="0.25">
      <c r="A1888" t="s">
        <v>1509</v>
      </c>
      <c r="B1888" t="s">
        <v>2291</v>
      </c>
      <c r="C1888" t="s">
        <v>1767</v>
      </c>
      <c r="D1888" t="str">
        <f t="shared" si="29"/>
        <v>png</v>
      </c>
    </row>
    <row r="1889" spans="1:4" x14ac:dyDescent="0.25">
      <c r="A1889" t="s">
        <v>1509</v>
      </c>
      <c r="B1889" t="s">
        <v>2291</v>
      </c>
      <c r="C1889" t="s">
        <v>1768</v>
      </c>
      <c r="D1889" t="str">
        <f t="shared" si="29"/>
        <v>png</v>
      </c>
    </row>
    <row r="1890" spans="1:4" x14ac:dyDescent="0.25">
      <c r="A1890" t="s">
        <v>1509</v>
      </c>
      <c r="B1890" t="s">
        <v>2291</v>
      </c>
      <c r="C1890" t="s">
        <v>1769</v>
      </c>
      <c r="D1890" t="str">
        <f t="shared" si="29"/>
        <v>png</v>
      </c>
    </row>
    <row r="1891" spans="1:4" x14ac:dyDescent="0.25">
      <c r="A1891" t="s">
        <v>1509</v>
      </c>
      <c r="B1891" t="s">
        <v>2291</v>
      </c>
      <c r="C1891" t="s">
        <v>1770</v>
      </c>
      <c r="D1891" t="str">
        <f t="shared" si="29"/>
        <v>png</v>
      </c>
    </row>
    <row r="1892" spans="1:4" x14ac:dyDescent="0.25">
      <c r="A1892" t="s">
        <v>1509</v>
      </c>
      <c r="B1892" t="s">
        <v>2291</v>
      </c>
      <c r="C1892" t="s">
        <v>1771</v>
      </c>
      <c r="D1892" t="str">
        <f t="shared" si="29"/>
        <v>png</v>
      </c>
    </row>
    <row r="1893" spans="1:4" x14ac:dyDescent="0.25">
      <c r="A1893" t="s">
        <v>1509</v>
      </c>
      <c r="B1893" t="s">
        <v>2291</v>
      </c>
      <c r="C1893" t="s">
        <v>1772</v>
      </c>
      <c r="D1893" t="str">
        <f t="shared" si="29"/>
        <v>png</v>
      </c>
    </row>
    <row r="1894" spans="1:4" x14ac:dyDescent="0.25">
      <c r="A1894" t="s">
        <v>1509</v>
      </c>
      <c r="B1894" t="s">
        <v>2291</v>
      </c>
      <c r="C1894" t="s">
        <v>1773</v>
      </c>
      <c r="D1894" t="str">
        <f t="shared" si="29"/>
        <v>png</v>
      </c>
    </row>
    <row r="1895" spans="1:4" x14ac:dyDescent="0.25">
      <c r="A1895" t="s">
        <v>1509</v>
      </c>
      <c r="B1895" t="s">
        <v>2291</v>
      </c>
      <c r="C1895" t="s">
        <v>1774</v>
      </c>
      <c r="D1895" t="str">
        <f t="shared" si="29"/>
        <v>png</v>
      </c>
    </row>
    <row r="1896" spans="1:4" x14ac:dyDescent="0.25">
      <c r="A1896" t="s">
        <v>1509</v>
      </c>
      <c r="B1896" t="s">
        <v>2291</v>
      </c>
      <c r="C1896" t="s">
        <v>1775</v>
      </c>
      <c r="D1896" t="str">
        <f t="shared" si="29"/>
        <v>png</v>
      </c>
    </row>
    <row r="1897" spans="1:4" x14ac:dyDescent="0.25">
      <c r="A1897" t="s">
        <v>1509</v>
      </c>
      <c r="B1897" t="s">
        <v>2291</v>
      </c>
      <c r="C1897" t="s">
        <v>1776</v>
      </c>
      <c r="D1897" t="str">
        <f t="shared" si="29"/>
        <v>png</v>
      </c>
    </row>
    <row r="1898" spans="1:4" x14ac:dyDescent="0.25">
      <c r="A1898" t="s">
        <v>1509</v>
      </c>
      <c r="B1898" t="s">
        <v>2291</v>
      </c>
      <c r="C1898" t="s">
        <v>1777</v>
      </c>
      <c r="D1898" t="str">
        <f t="shared" si="29"/>
        <v>png</v>
      </c>
    </row>
    <row r="1899" spans="1:4" x14ac:dyDescent="0.25">
      <c r="A1899" t="s">
        <v>1509</v>
      </c>
      <c r="B1899" t="s">
        <v>2291</v>
      </c>
      <c r="C1899" t="s">
        <v>1778</v>
      </c>
      <c r="D1899" t="str">
        <f t="shared" si="29"/>
        <v>png</v>
      </c>
    </row>
    <row r="1900" spans="1:4" x14ac:dyDescent="0.25">
      <c r="A1900" t="s">
        <v>1509</v>
      </c>
      <c r="B1900" t="s">
        <v>2291</v>
      </c>
      <c r="C1900" t="s">
        <v>1779</v>
      </c>
      <c r="D1900" t="str">
        <f t="shared" si="29"/>
        <v>ZIP oder R</v>
      </c>
    </row>
    <row r="1901" spans="1:4" x14ac:dyDescent="0.25">
      <c r="A1901" t="s">
        <v>1780</v>
      </c>
      <c r="B1901" t="s">
        <v>2291</v>
      </c>
      <c r="C1901" t="s">
        <v>1520</v>
      </c>
      <c r="D1901" t="str">
        <f t="shared" si="29"/>
        <v>png</v>
      </c>
    </row>
    <row r="1902" spans="1:4" x14ac:dyDescent="0.25">
      <c r="A1902" t="s">
        <v>1780</v>
      </c>
      <c r="B1902" t="s">
        <v>2291</v>
      </c>
      <c r="C1902" t="s">
        <v>1521</v>
      </c>
      <c r="D1902" t="str">
        <f t="shared" si="29"/>
        <v>png</v>
      </c>
    </row>
    <row r="1903" spans="1:4" x14ac:dyDescent="0.25">
      <c r="A1903" t="s">
        <v>1780</v>
      </c>
      <c r="B1903" t="s">
        <v>2291</v>
      </c>
      <c r="C1903" t="s">
        <v>1522</v>
      </c>
      <c r="D1903" t="str">
        <f t="shared" si="29"/>
        <v>png</v>
      </c>
    </row>
    <row r="1904" spans="1:4" x14ac:dyDescent="0.25">
      <c r="A1904" t="s">
        <v>1780</v>
      </c>
      <c r="B1904" t="s">
        <v>2291</v>
      </c>
      <c r="C1904" t="s">
        <v>1523</v>
      </c>
      <c r="D1904" t="str">
        <f t="shared" si="29"/>
        <v>png</v>
      </c>
    </row>
    <row r="1905" spans="1:4" x14ac:dyDescent="0.25">
      <c r="A1905" t="s">
        <v>1780</v>
      </c>
      <c r="B1905" t="s">
        <v>2291</v>
      </c>
      <c r="C1905" t="s">
        <v>1524</v>
      </c>
      <c r="D1905" t="str">
        <f t="shared" si="29"/>
        <v>png</v>
      </c>
    </row>
    <row r="1906" spans="1:4" x14ac:dyDescent="0.25">
      <c r="A1906" t="s">
        <v>1780</v>
      </c>
      <c r="B1906" t="s">
        <v>2291</v>
      </c>
      <c r="C1906" t="s">
        <v>1525</v>
      </c>
      <c r="D1906" t="str">
        <f t="shared" si="29"/>
        <v>png</v>
      </c>
    </row>
    <row r="1907" spans="1:4" x14ac:dyDescent="0.25">
      <c r="A1907" t="s">
        <v>1780</v>
      </c>
      <c r="B1907" t="s">
        <v>2291</v>
      </c>
      <c r="C1907" t="s">
        <v>1526</v>
      </c>
      <c r="D1907" t="str">
        <f t="shared" si="29"/>
        <v>png</v>
      </c>
    </row>
    <row r="1908" spans="1:4" x14ac:dyDescent="0.25">
      <c r="A1908" t="s">
        <v>1780</v>
      </c>
      <c r="B1908" t="s">
        <v>2291</v>
      </c>
      <c r="C1908" t="s">
        <v>1527</v>
      </c>
      <c r="D1908" t="str">
        <f t="shared" si="29"/>
        <v>png</v>
      </c>
    </row>
    <row r="1909" spans="1:4" x14ac:dyDescent="0.25">
      <c r="A1909" t="s">
        <v>1780</v>
      </c>
      <c r="B1909" t="s">
        <v>2291</v>
      </c>
      <c r="C1909" t="s">
        <v>1528</v>
      </c>
      <c r="D1909" t="str">
        <f t="shared" si="29"/>
        <v>png</v>
      </c>
    </row>
    <row r="1910" spans="1:4" x14ac:dyDescent="0.25">
      <c r="A1910" t="s">
        <v>1780</v>
      </c>
      <c r="B1910" t="s">
        <v>2291</v>
      </c>
      <c r="C1910" t="s">
        <v>1529</v>
      </c>
      <c r="D1910" t="str">
        <f t="shared" si="29"/>
        <v>png</v>
      </c>
    </row>
    <row r="1911" spans="1:4" x14ac:dyDescent="0.25">
      <c r="A1911" t="s">
        <v>1780</v>
      </c>
      <c r="B1911" t="s">
        <v>2291</v>
      </c>
      <c r="C1911" t="s">
        <v>1530</v>
      </c>
      <c r="D1911" t="str">
        <f t="shared" si="29"/>
        <v>png</v>
      </c>
    </row>
    <row r="1912" spans="1:4" x14ac:dyDescent="0.25">
      <c r="A1912" t="s">
        <v>1780</v>
      </c>
      <c r="B1912" t="s">
        <v>2291</v>
      </c>
      <c r="C1912" t="s">
        <v>1531</v>
      </c>
      <c r="D1912" t="str">
        <f t="shared" si="29"/>
        <v>png</v>
      </c>
    </row>
    <row r="1913" spans="1:4" x14ac:dyDescent="0.25">
      <c r="A1913" t="s">
        <v>1780</v>
      </c>
      <c r="B1913" t="s">
        <v>2291</v>
      </c>
      <c r="C1913" t="s">
        <v>1532</v>
      </c>
      <c r="D1913" t="str">
        <f t="shared" si="29"/>
        <v>png</v>
      </c>
    </row>
    <row r="1914" spans="1:4" x14ac:dyDescent="0.25">
      <c r="A1914" t="s">
        <v>1780</v>
      </c>
      <c r="B1914" t="s">
        <v>2291</v>
      </c>
      <c r="C1914" t="s">
        <v>1533</v>
      </c>
      <c r="D1914" t="str">
        <f t="shared" si="29"/>
        <v>png</v>
      </c>
    </row>
    <row r="1915" spans="1:4" x14ac:dyDescent="0.25">
      <c r="A1915" t="s">
        <v>1780</v>
      </c>
      <c r="B1915" t="s">
        <v>2291</v>
      </c>
      <c r="C1915" t="s">
        <v>1534</v>
      </c>
      <c r="D1915" t="str">
        <f t="shared" si="29"/>
        <v>png</v>
      </c>
    </row>
    <row r="1916" spans="1:4" x14ac:dyDescent="0.25">
      <c r="A1916" t="s">
        <v>1780</v>
      </c>
      <c r="B1916" t="s">
        <v>2291</v>
      </c>
      <c r="C1916" t="s">
        <v>1535</v>
      </c>
      <c r="D1916" t="str">
        <f t="shared" si="29"/>
        <v>png</v>
      </c>
    </row>
    <row r="1917" spans="1:4" x14ac:dyDescent="0.25">
      <c r="A1917" t="s">
        <v>1780</v>
      </c>
      <c r="B1917" t="s">
        <v>2291</v>
      </c>
      <c r="C1917" t="s">
        <v>1536</v>
      </c>
      <c r="D1917" t="str">
        <f t="shared" si="29"/>
        <v>png</v>
      </c>
    </row>
    <row r="1918" spans="1:4" x14ac:dyDescent="0.25">
      <c r="A1918" t="s">
        <v>1780</v>
      </c>
      <c r="B1918" t="s">
        <v>2291</v>
      </c>
      <c r="C1918" t="s">
        <v>1537</v>
      </c>
      <c r="D1918" t="str">
        <f t="shared" si="29"/>
        <v>png</v>
      </c>
    </row>
    <row r="1919" spans="1:4" x14ac:dyDescent="0.25">
      <c r="A1919" t="s">
        <v>1780</v>
      </c>
      <c r="B1919" t="s">
        <v>2291</v>
      </c>
      <c r="C1919" t="s">
        <v>1538</v>
      </c>
      <c r="D1919" t="str">
        <f t="shared" si="29"/>
        <v>png</v>
      </c>
    </row>
    <row r="1920" spans="1:4" x14ac:dyDescent="0.25">
      <c r="A1920" t="s">
        <v>1780</v>
      </c>
      <c r="B1920" t="s">
        <v>2291</v>
      </c>
      <c r="C1920" t="s">
        <v>1539</v>
      </c>
      <c r="D1920" t="str">
        <f t="shared" si="29"/>
        <v>png</v>
      </c>
    </row>
    <row r="1921" spans="1:4" x14ac:dyDescent="0.25">
      <c r="A1921" t="s">
        <v>1780</v>
      </c>
      <c r="B1921" t="s">
        <v>2291</v>
      </c>
      <c r="C1921" t="s">
        <v>1540</v>
      </c>
      <c r="D1921" t="str">
        <f t="shared" si="29"/>
        <v>png</v>
      </c>
    </row>
    <row r="1922" spans="1:4" x14ac:dyDescent="0.25">
      <c r="A1922" t="s">
        <v>1780</v>
      </c>
      <c r="B1922" t="s">
        <v>2291</v>
      </c>
      <c r="C1922" t="s">
        <v>1541</v>
      </c>
      <c r="D1922" t="str">
        <f t="shared" si="29"/>
        <v>png</v>
      </c>
    </row>
    <row r="1923" spans="1:4" x14ac:dyDescent="0.25">
      <c r="A1923" t="s">
        <v>1780</v>
      </c>
      <c r="B1923" t="s">
        <v>2291</v>
      </c>
      <c r="C1923" t="s">
        <v>1542</v>
      </c>
      <c r="D1923" t="str">
        <f t="shared" ref="D1923:D1986" si="30">IF(ISNUMBER(SEARCH(".pdf",C1923)),"pdf",IF(ISNUMBER(SEARCH(".tif",C1923)),"tif",IF(ISNUMBER(SEARCH(".las",C1923)),"las",IF(ISNUMBER(SEARCH(".sdg",C1923)),"sdg",IF(ISNUMBER(SEARCH(".xlsx",C1923)),"xlsx",IF(ISNUMBER(SEARCH(".docx",C1923)),"docx",IF(ISNUMBER(SEARCH(".rhistory",C1923)),"rhistory",IF(ISNUMBER(SEARCH(".db",C1923)),"db",IF(ISNUMBER(SEARCH(".jpg",C1923)),"jpg",IF(ISNUMBER(SEARCH(".png",C1923)),"png",IF(ISNUMBER(SEARCH(".mdb",C1923)),"mdb",IF(ISNUMBER(SEARCH(".xml",C1923)),"xml",IF(ISNUMBER(SEARCH(".xls",C1923)),"xls",IF(ISNUMBER(SEARCH(".txt",C1923)),"txt",IF(ISNUMBER(SEARCH(".tsf",C1923)),"tsf",IF(ISNUMBER(SEARCH(".sch",C1923)),"sch","ZIP oder R"))))))))))))))))</f>
        <v>png</v>
      </c>
    </row>
    <row r="1924" spans="1:4" x14ac:dyDescent="0.25">
      <c r="A1924" t="s">
        <v>1780</v>
      </c>
      <c r="B1924" t="s">
        <v>2291</v>
      </c>
      <c r="C1924" t="s">
        <v>1543</v>
      </c>
      <c r="D1924" t="str">
        <f t="shared" si="30"/>
        <v>png</v>
      </c>
    </row>
    <row r="1925" spans="1:4" x14ac:dyDescent="0.25">
      <c r="A1925" t="s">
        <v>1780</v>
      </c>
      <c r="B1925" t="s">
        <v>2291</v>
      </c>
      <c r="C1925" t="s">
        <v>1544</v>
      </c>
      <c r="D1925" t="str">
        <f t="shared" si="30"/>
        <v>png</v>
      </c>
    </row>
    <row r="1926" spans="1:4" x14ac:dyDescent="0.25">
      <c r="A1926" t="s">
        <v>1780</v>
      </c>
      <c r="B1926" t="s">
        <v>2291</v>
      </c>
      <c r="C1926" t="s">
        <v>1545</v>
      </c>
      <c r="D1926" t="str">
        <f t="shared" si="30"/>
        <v>png</v>
      </c>
    </row>
    <row r="1927" spans="1:4" x14ac:dyDescent="0.25">
      <c r="A1927" t="s">
        <v>1780</v>
      </c>
      <c r="B1927" t="s">
        <v>2291</v>
      </c>
      <c r="C1927" t="s">
        <v>1546</v>
      </c>
      <c r="D1927" t="str">
        <f t="shared" si="30"/>
        <v>png</v>
      </c>
    </row>
    <row r="1928" spans="1:4" x14ac:dyDescent="0.25">
      <c r="A1928" t="s">
        <v>1781</v>
      </c>
      <c r="B1928" t="s">
        <v>2291</v>
      </c>
      <c r="C1928" t="s">
        <v>1547</v>
      </c>
      <c r="D1928" t="str">
        <f t="shared" si="30"/>
        <v>png</v>
      </c>
    </row>
    <row r="1929" spans="1:4" x14ac:dyDescent="0.25">
      <c r="A1929" t="s">
        <v>1781</v>
      </c>
      <c r="B1929" t="s">
        <v>2291</v>
      </c>
      <c r="C1929" t="s">
        <v>1548</v>
      </c>
      <c r="D1929" t="str">
        <f t="shared" si="30"/>
        <v>png</v>
      </c>
    </row>
    <row r="1930" spans="1:4" x14ac:dyDescent="0.25">
      <c r="A1930" t="s">
        <v>1781</v>
      </c>
      <c r="B1930" t="s">
        <v>2291</v>
      </c>
      <c r="C1930" t="s">
        <v>1549</v>
      </c>
      <c r="D1930" t="str">
        <f t="shared" si="30"/>
        <v>png</v>
      </c>
    </row>
    <row r="1931" spans="1:4" x14ac:dyDescent="0.25">
      <c r="A1931" t="s">
        <v>1781</v>
      </c>
      <c r="B1931" t="s">
        <v>2291</v>
      </c>
      <c r="C1931" t="s">
        <v>1550</v>
      </c>
      <c r="D1931" t="str">
        <f t="shared" si="30"/>
        <v>png</v>
      </c>
    </row>
    <row r="1932" spans="1:4" x14ac:dyDescent="0.25">
      <c r="A1932" t="s">
        <v>1781</v>
      </c>
      <c r="B1932" t="s">
        <v>2291</v>
      </c>
      <c r="C1932" t="s">
        <v>1551</v>
      </c>
      <c r="D1932" t="str">
        <f t="shared" si="30"/>
        <v>png</v>
      </c>
    </row>
    <row r="1933" spans="1:4" x14ac:dyDescent="0.25">
      <c r="A1933" t="s">
        <v>1781</v>
      </c>
      <c r="B1933" t="s">
        <v>2291</v>
      </c>
      <c r="C1933" t="s">
        <v>1552</v>
      </c>
      <c r="D1933" t="str">
        <f t="shared" si="30"/>
        <v>png</v>
      </c>
    </row>
    <row r="1934" spans="1:4" x14ac:dyDescent="0.25">
      <c r="A1934" t="s">
        <v>1781</v>
      </c>
      <c r="B1934" t="s">
        <v>2291</v>
      </c>
      <c r="C1934" t="s">
        <v>1553</v>
      </c>
      <c r="D1934" t="str">
        <f t="shared" si="30"/>
        <v>png</v>
      </c>
    </row>
    <row r="1935" spans="1:4" x14ac:dyDescent="0.25">
      <c r="A1935" t="s">
        <v>1781</v>
      </c>
      <c r="B1935" t="s">
        <v>2291</v>
      </c>
      <c r="C1935" t="s">
        <v>1554</v>
      </c>
      <c r="D1935" t="str">
        <f t="shared" si="30"/>
        <v>png</v>
      </c>
    </row>
    <row r="1936" spans="1:4" x14ac:dyDescent="0.25">
      <c r="A1936" t="s">
        <v>1781</v>
      </c>
      <c r="B1936" t="s">
        <v>2291</v>
      </c>
      <c r="C1936" t="s">
        <v>1555</v>
      </c>
      <c r="D1936" t="str">
        <f t="shared" si="30"/>
        <v>png</v>
      </c>
    </row>
    <row r="1937" spans="1:4" x14ac:dyDescent="0.25">
      <c r="A1937" t="s">
        <v>1781</v>
      </c>
      <c r="B1937" t="s">
        <v>2291</v>
      </c>
      <c r="C1937" t="s">
        <v>1556</v>
      </c>
      <c r="D1937" t="str">
        <f t="shared" si="30"/>
        <v>png</v>
      </c>
    </row>
    <row r="1938" spans="1:4" x14ac:dyDescent="0.25">
      <c r="A1938" t="s">
        <v>1781</v>
      </c>
      <c r="B1938" t="s">
        <v>2291</v>
      </c>
      <c r="C1938" t="s">
        <v>1557</v>
      </c>
      <c r="D1938" t="str">
        <f t="shared" si="30"/>
        <v>png</v>
      </c>
    </row>
    <row r="1939" spans="1:4" x14ac:dyDescent="0.25">
      <c r="A1939" t="s">
        <v>1781</v>
      </c>
      <c r="B1939" t="s">
        <v>2291</v>
      </c>
      <c r="C1939" t="s">
        <v>1558</v>
      </c>
      <c r="D1939" t="str">
        <f t="shared" si="30"/>
        <v>png</v>
      </c>
    </row>
    <row r="1940" spans="1:4" x14ac:dyDescent="0.25">
      <c r="A1940" t="s">
        <v>1781</v>
      </c>
      <c r="B1940" t="s">
        <v>2291</v>
      </c>
      <c r="C1940" t="s">
        <v>1559</v>
      </c>
      <c r="D1940" t="str">
        <f t="shared" si="30"/>
        <v>png</v>
      </c>
    </row>
    <row r="1941" spans="1:4" x14ac:dyDescent="0.25">
      <c r="A1941" t="s">
        <v>1781</v>
      </c>
      <c r="B1941" t="s">
        <v>2291</v>
      </c>
      <c r="C1941" t="s">
        <v>1560</v>
      </c>
      <c r="D1941" t="str">
        <f t="shared" si="30"/>
        <v>png</v>
      </c>
    </row>
    <row r="1942" spans="1:4" x14ac:dyDescent="0.25">
      <c r="A1942" t="s">
        <v>1781</v>
      </c>
      <c r="B1942" t="s">
        <v>2291</v>
      </c>
      <c r="C1942" t="s">
        <v>1561</v>
      </c>
      <c r="D1942" t="str">
        <f t="shared" si="30"/>
        <v>png</v>
      </c>
    </row>
    <row r="1943" spans="1:4" x14ac:dyDescent="0.25">
      <c r="A1943" t="s">
        <v>1781</v>
      </c>
      <c r="B1943" t="s">
        <v>2291</v>
      </c>
      <c r="C1943" t="s">
        <v>1562</v>
      </c>
      <c r="D1943" t="str">
        <f t="shared" si="30"/>
        <v>png</v>
      </c>
    </row>
    <row r="1944" spans="1:4" x14ac:dyDescent="0.25">
      <c r="A1944" t="s">
        <v>1781</v>
      </c>
      <c r="B1944" t="s">
        <v>2291</v>
      </c>
      <c r="C1944" t="s">
        <v>1563</v>
      </c>
      <c r="D1944" t="str">
        <f t="shared" si="30"/>
        <v>png</v>
      </c>
    </row>
    <row r="1945" spans="1:4" x14ac:dyDescent="0.25">
      <c r="A1945" t="s">
        <v>1781</v>
      </c>
      <c r="B1945" t="s">
        <v>2291</v>
      </c>
      <c r="C1945" t="s">
        <v>1564</v>
      </c>
      <c r="D1945" t="str">
        <f t="shared" si="30"/>
        <v>png</v>
      </c>
    </row>
    <row r="1946" spans="1:4" x14ac:dyDescent="0.25">
      <c r="A1946" t="s">
        <v>1781</v>
      </c>
      <c r="B1946" t="s">
        <v>2291</v>
      </c>
      <c r="C1946" t="s">
        <v>1565</v>
      </c>
      <c r="D1946" t="str">
        <f t="shared" si="30"/>
        <v>png</v>
      </c>
    </row>
    <row r="1947" spans="1:4" x14ac:dyDescent="0.25">
      <c r="A1947" t="s">
        <v>1781</v>
      </c>
      <c r="B1947" t="s">
        <v>2291</v>
      </c>
      <c r="C1947" t="s">
        <v>1566</v>
      </c>
      <c r="D1947" t="str">
        <f t="shared" si="30"/>
        <v>png</v>
      </c>
    </row>
    <row r="1948" spans="1:4" x14ac:dyDescent="0.25">
      <c r="A1948" t="s">
        <v>1781</v>
      </c>
      <c r="B1948" t="s">
        <v>2291</v>
      </c>
      <c r="C1948" t="s">
        <v>1567</v>
      </c>
      <c r="D1948" t="str">
        <f t="shared" si="30"/>
        <v>png</v>
      </c>
    </row>
    <row r="1949" spans="1:4" x14ac:dyDescent="0.25">
      <c r="A1949" t="s">
        <v>1781</v>
      </c>
      <c r="B1949" t="s">
        <v>2291</v>
      </c>
      <c r="C1949" t="s">
        <v>1568</v>
      </c>
      <c r="D1949" t="str">
        <f t="shared" si="30"/>
        <v>png</v>
      </c>
    </row>
    <row r="1950" spans="1:4" x14ac:dyDescent="0.25">
      <c r="A1950" t="s">
        <v>1781</v>
      </c>
      <c r="B1950" t="s">
        <v>2291</v>
      </c>
      <c r="C1950" t="s">
        <v>1569</v>
      </c>
      <c r="D1950" t="str">
        <f t="shared" si="30"/>
        <v>png</v>
      </c>
    </row>
    <row r="1951" spans="1:4" x14ac:dyDescent="0.25">
      <c r="A1951" t="s">
        <v>1781</v>
      </c>
      <c r="B1951" t="s">
        <v>2291</v>
      </c>
      <c r="C1951" t="s">
        <v>1570</v>
      </c>
      <c r="D1951" t="str">
        <f t="shared" si="30"/>
        <v>png</v>
      </c>
    </row>
    <row r="1952" spans="1:4" x14ac:dyDescent="0.25">
      <c r="A1952" t="s">
        <v>1781</v>
      </c>
      <c r="B1952" t="s">
        <v>2291</v>
      </c>
      <c r="C1952" t="s">
        <v>1571</v>
      </c>
      <c r="D1952" t="str">
        <f t="shared" si="30"/>
        <v>png</v>
      </c>
    </row>
    <row r="1953" spans="1:4" x14ac:dyDescent="0.25">
      <c r="A1953" t="s">
        <v>1781</v>
      </c>
      <c r="B1953" t="s">
        <v>2291</v>
      </c>
      <c r="C1953" t="s">
        <v>1572</v>
      </c>
      <c r="D1953" t="str">
        <f t="shared" si="30"/>
        <v>png</v>
      </c>
    </row>
    <row r="1954" spans="1:4" x14ac:dyDescent="0.25">
      <c r="A1954" t="s">
        <v>1781</v>
      </c>
      <c r="B1954" t="s">
        <v>2291</v>
      </c>
      <c r="C1954" t="s">
        <v>1573</v>
      </c>
      <c r="D1954" t="str">
        <f t="shared" si="30"/>
        <v>png</v>
      </c>
    </row>
    <row r="1955" spans="1:4" x14ac:dyDescent="0.25">
      <c r="A1955" t="s">
        <v>1781</v>
      </c>
      <c r="B1955" t="s">
        <v>2291</v>
      </c>
      <c r="C1955" t="s">
        <v>1574</v>
      </c>
      <c r="D1955" t="str">
        <f t="shared" si="30"/>
        <v>png</v>
      </c>
    </row>
    <row r="1956" spans="1:4" x14ac:dyDescent="0.25">
      <c r="A1956" t="s">
        <v>1781</v>
      </c>
      <c r="B1956" t="s">
        <v>2291</v>
      </c>
      <c r="C1956" t="s">
        <v>1575</v>
      </c>
      <c r="D1956" t="str">
        <f t="shared" si="30"/>
        <v>png</v>
      </c>
    </row>
    <row r="1957" spans="1:4" x14ac:dyDescent="0.25">
      <c r="A1957" t="s">
        <v>1781</v>
      </c>
      <c r="B1957" t="s">
        <v>2291</v>
      </c>
      <c r="C1957" t="s">
        <v>1576</v>
      </c>
      <c r="D1957" t="str">
        <f t="shared" si="30"/>
        <v>png</v>
      </c>
    </row>
    <row r="1958" spans="1:4" x14ac:dyDescent="0.25">
      <c r="A1958" t="s">
        <v>1781</v>
      </c>
      <c r="B1958" t="s">
        <v>2291</v>
      </c>
      <c r="C1958" t="s">
        <v>1577</v>
      </c>
      <c r="D1958" t="str">
        <f t="shared" si="30"/>
        <v>png</v>
      </c>
    </row>
    <row r="1959" spans="1:4" x14ac:dyDescent="0.25">
      <c r="A1959" t="s">
        <v>1781</v>
      </c>
      <c r="B1959" t="s">
        <v>2291</v>
      </c>
      <c r="C1959" t="s">
        <v>1578</v>
      </c>
      <c r="D1959" t="str">
        <f t="shared" si="30"/>
        <v>png</v>
      </c>
    </row>
    <row r="1960" spans="1:4" x14ac:dyDescent="0.25">
      <c r="A1960" t="s">
        <v>1781</v>
      </c>
      <c r="B1960" t="s">
        <v>2291</v>
      </c>
      <c r="C1960" t="s">
        <v>1579</v>
      </c>
      <c r="D1960" t="str">
        <f t="shared" si="30"/>
        <v>png</v>
      </c>
    </row>
    <row r="1961" spans="1:4" x14ac:dyDescent="0.25">
      <c r="A1961" t="s">
        <v>1781</v>
      </c>
      <c r="B1961" t="s">
        <v>2291</v>
      </c>
      <c r="C1961" t="s">
        <v>1580</v>
      </c>
      <c r="D1961" t="str">
        <f t="shared" si="30"/>
        <v>png</v>
      </c>
    </row>
    <row r="1962" spans="1:4" x14ac:dyDescent="0.25">
      <c r="A1962" t="s">
        <v>1781</v>
      </c>
      <c r="B1962" t="s">
        <v>2291</v>
      </c>
      <c r="C1962" t="s">
        <v>1581</v>
      </c>
      <c r="D1962" t="str">
        <f t="shared" si="30"/>
        <v>png</v>
      </c>
    </row>
    <row r="1963" spans="1:4" x14ac:dyDescent="0.25">
      <c r="A1963" t="s">
        <v>1781</v>
      </c>
      <c r="B1963" t="s">
        <v>2291</v>
      </c>
      <c r="C1963" t="s">
        <v>1582</v>
      </c>
      <c r="D1963" t="str">
        <f t="shared" si="30"/>
        <v>png</v>
      </c>
    </row>
    <row r="1964" spans="1:4" x14ac:dyDescent="0.25">
      <c r="A1964" t="s">
        <v>1781</v>
      </c>
      <c r="B1964" t="s">
        <v>2291</v>
      </c>
      <c r="C1964" t="s">
        <v>1583</v>
      </c>
      <c r="D1964" t="str">
        <f t="shared" si="30"/>
        <v>png</v>
      </c>
    </row>
    <row r="1965" spans="1:4" x14ac:dyDescent="0.25">
      <c r="A1965" t="s">
        <v>1781</v>
      </c>
      <c r="B1965" t="s">
        <v>2291</v>
      </c>
      <c r="C1965" t="s">
        <v>1584</v>
      </c>
      <c r="D1965" t="str">
        <f t="shared" si="30"/>
        <v>png</v>
      </c>
    </row>
    <row r="1966" spans="1:4" x14ac:dyDescent="0.25">
      <c r="A1966" t="s">
        <v>1781</v>
      </c>
      <c r="B1966" t="s">
        <v>2291</v>
      </c>
      <c r="C1966" t="s">
        <v>1585</v>
      </c>
      <c r="D1966" t="str">
        <f t="shared" si="30"/>
        <v>png</v>
      </c>
    </row>
    <row r="1967" spans="1:4" x14ac:dyDescent="0.25">
      <c r="A1967" t="s">
        <v>1781</v>
      </c>
      <c r="B1967" t="s">
        <v>2291</v>
      </c>
      <c r="C1967" t="s">
        <v>1586</v>
      </c>
      <c r="D1967" t="str">
        <f t="shared" si="30"/>
        <v>png</v>
      </c>
    </row>
    <row r="1968" spans="1:4" x14ac:dyDescent="0.25">
      <c r="A1968" t="s">
        <v>1781</v>
      </c>
      <c r="B1968" t="s">
        <v>2291</v>
      </c>
      <c r="C1968" t="s">
        <v>1587</v>
      </c>
      <c r="D1968" t="str">
        <f t="shared" si="30"/>
        <v>png</v>
      </c>
    </row>
    <row r="1969" spans="1:4" x14ac:dyDescent="0.25">
      <c r="A1969" t="s">
        <v>1781</v>
      </c>
      <c r="B1969" t="s">
        <v>2291</v>
      </c>
      <c r="C1969" t="s">
        <v>1588</v>
      </c>
      <c r="D1969" t="str">
        <f t="shared" si="30"/>
        <v>png</v>
      </c>
    </row>
    <row r="1970" spans="1:4" x14ac:dyDescent="0.25">
      <c r="A1970" t="s">
        <v>1781</v>
      </c>
      <c r="B1970" t="s">
        <v>2291</v>
      </c>
      <c r="C1970" t="s">
        <v>1589</v>
      </c>
      <c r="D1970" t="str">
        <f t="shared" si="30"/>
        <v>png</v>
      </c>
    </row>
    <row r="1971" spans="1:4" x14ac:dyDescent="0.25">
      <c r="A1971" t="s">
        <v>1781</v>
      </c>
      <c r="B1971" t="s">
        <v>2291</v>
      </c>
      <c r="C1971" t="s">
        <v>1590</v>
      </c>
      <c r="D1971" t="str">
        <f t="shared" si="30"/>
        <v>png</v>
      </c>
    </row>
    <row r="1972" spans="1:4" x14ac:dyDescent="0.25">
      <c r="A1972" t="s">
        <v>1781</v>
      </c>
      <c r="B1972" t="s">
        <v>2291</v>
      </c>
      <c r="C1972" t="s">
        <v>1591</v>
      </c>
      <c r="D1972" t="str">
        <f t="shared" si="30"/>
        <v>png</v>
      </c>
    </row>
    <row r="1973" spans="1:4" x14ac:dyDescent="0.25">
      <c r="A1973" t="s">
        <v>1781</v>
      </c>
      <c r="B1973" t="s">
        <v>2291</v>
      </c>
      <c r="C1973" t="s">
        <v>1592</v>
      </c>
      <c r="D1973" t="str">
        <f t="shared" si="30"/>
        <v>png</v>
      </c>
    </row>
    <row r="1974" spans="1:4" x14ac:dyDescent="0.25">
      <c r="A1974" t="s">
        <v>1781</v>
      </c>
      <c r="B1974" t="s">
        <v>2291</v>
      </c>
      <c r="C1974" t="s">
        <v>1593</v>
      </c>
      <c r="D1974" t="str">
        <f t="shared" si="30"/>
        <v>png</v>
      </c>
    </row>
    <row r="1975" spans="1:4" x14ac:dyDescent="0.25">
      <c r="A1975" t="s">
        <v>1781</v>
      </c>
      <c r="B1975" t="s">
        <v>2291</v>
      </c>
      <c r="C1975" t="s">
        <v>1594</v>
      </c>
      <c r="D1975" t="str">
        <f t="shared" si="30"/>
        <v>png</v>
      </c>
    </row>
    <row r="1976" spans="1:4" x14ac:dyDescent="0.25">
      <c r="A1976" t="s">
        <v>1781</v>
      </c>
      <c r="B1976" t="s">
        <v>2291</v>
      </c>
      <c r="C1976" t="s">
        <v>1595</v>
      </c>
      <c r="D1976" t="str">
        <f t="shared" si="30"/>
        <v>png</v>
      </c>
    </row>
    <row r="1977" spans="1:4" x14ac:dyDescent="0.25">
      <c r="A1977" t="s">
        <v>1781</v>
      </c>
      <c r="B1977" t="s">
        <v>2291</v>
      </c>
      <c r="C1977" t="s">
        <v>1596</v>
      </c>
      <c r="D1977" t="str">
        <f t="shared" si="30"/>
        <v>png</v>
      </c>
    </row>
    <row r="1978" spans="1:4" x14ac:dyDescent="0.25">
      <c r="A1978" t="s">
        <v>1782</v>
      </c>
      <c r="B1978" t="s">
        <v>2291</v>
      </c>
      <c r="C1978" t="s">
        <v>1597</v>
      </c>
      <c r="D1978" t="str">
        <f t="shared" si="30"/>
        <v>png</v>
      </c>
    </row>
    <row r="1979" spans="1:4" x14ac:dyDescent="0.25">
      <c r="A1979" t="s">
        <v>1782</v>
      </c>
      <c r="B1979" t="s">
        <v>2291</v>
      </c>
      <c r="C1979" t="s">
        <v>1598</v>
      </c>
      <c r="D1979" t="str">
        <f t="shared" si="30"/>
        <v>png</v>
      </c>
    </row>
    <row r="1980" spans="1:4" x14ac:dyDescent="0.25">
      <c r="A1980" t="s">
        <v>1782</v>
      </c>
      <c r="B1980" t="s">
        <v>2291</v>
      </c>
      <c r="C1980" t="s">
        <v>1599</v>
      </c>
      <c r="D1980" t="str">
        <f t="shared" si="30"/>
        <v>png</v>
      </c>
    </row>
    <row r="1981" spans="1:4" x14ac:dyDescent="0.25">
      <c r="A1981" t="s">
        <v>1782</v>
      </c>
      <c r="B1981" t="s">
        <v>2291</v>
      </c>
      <c r="C1981" t="s">
        <v>1600</v>
      </c>
      <c r="D1981" t="str">
        <f t="shared" si="30"/>
        <v>png</v>
      </c>
    </row>
    <row r="1982" spans="1:4" x14ac:dyDescent="0.25">
      <c r="A1982" t="s">
        <v>1782</v>
      </c>
      <c r="B1982" t="s">
        <v>2291</v>
      </c>
      <c r="C1982" t="s">
        <v>1601</v>
      </c>
      <c r="D1982" t="str">
        <f t="shared" si="30"/>
        <v>png</v>
      </c>
    </row>
    <row r="1983" spans="1:4" x14ac:dyDescent="0.25">
      <c r="A1983" t="s">
        <v>1782</v>
      </c>
      <c r="B1983" t="s">
        <v>2291</v>
      </c>
      <c r="C1983" t="s">
        <v>1602</v>
      </c>
      <c r="D1983" t="str">
        <f t="shared" si="30"/>
        <v>png</v>
      </c>
    </row>
    <row r="1984" spans="1:4" x14ac:dyDescent="0.25">
      <c r="A1984" t="s">
        <v>1782</v>
      </c>
      <c r="B1984" t="s">
        <v>2291</v>
      </c>
      <c r="C1984" t="s">
        <v>1603</v>
      </c>
      <c r="D1984" t="str">
        <f t="shared" si="30"/>
        <v>png</v>
      </c>
    </row>
    <row r="1985" spans="1:4" x14ac:dyDescent="0.25">
      <c r="A1985" t="s">
        <v>1782</v>
      </c>
      <c r="B1985" t="s">
        <v>2291</v>
      </c>
      <c r="C1985" t="s">
        <v>1604</v>
      </c>
      <c r="D1985" t="str">
        <f t="shared" si="30"/>
        <v>png</v>
      </c>
    </row>
    <row r="1986" spans="1:4" x14ac:dyDescent="0.25">
      <c r="A1986" t="s">
        <v>1782</v>
      </c>
      <c r="B1986" t="s">
        <v>2291</v>
      </c>
      <c r="C1986" t="s">
        <v>1605</v>
      </c>
      <c r="D1986" t="str">
        <f t="shared" si="30"/>
        <v>png</v>
      </c>
    </row>
    <row r="1987" spans="1:4" x14ac:dyDescent="0.25">
      <c r="A1987" t="s">
        <v>1782</v>
      </c>
      <c r="B1987" t="s">
        <v>2291</v>
      </c>
      <c r="C1987" t="s">
        <v>1606</v>
      </c>
      <c r="D1987" t="str">
        <f t="shared" ref="D1987:D2050" si="31">IF(ISNUMBER(SEARCH(".pdf",C1987)),"pdf",IF(ISNUMBER(SEARCH(".tif",C1987)),"tif",IF(ISNUMBER(SEARCH(".las",C1987)),"las",IF(ISNUMBER(SEARCH(".sdg",C1987)),"sdg",IF(ISNUMBER(SEARCH(".xlsx",C1987)),"xlsx",IF(ISNUMBER(SEARCH(".docx",C1987)),"docx",IF(ISNUMBER(SEARCH(".rhistory",C1987)),"rhistory",IF(ISNUMBER(SEARCH(".db",C1987)),"db",IF(ISNUMBER(SEARCH(".jpg",C1987)),"jpg",IF(ISNUMBER(SEARCH(".png",C1987)),"png",IF(ISNUMBER(SEARCH(".mdb",C1987)),"mdb",IF(ISNUMBER(SEARCH(".xml",C1987)),"xml",IF(ISNUMBER(SEARCH(".xls",C1987)),"xls",IF(ISNUMBER(SEARCH(".txt",C1987)),"txt",IF(ISNUMBER(SEARCH(".tsf",C1987)),"tsf",IF(ISNUMBER(SEARCH(".sch",C1987)),"sch","ZIP oder R"))))))))))))))))</f>
        <v>png</v>
      </c>
    </row>
    <row r="1988" spans="1:4" x14ac:dyDescent="0.25">
      <c r="A1988" t="s">
        <v>1782</v>
      </c>
      <c r="B1988" t="s">
        <v>2291</v>
      </c>
      <c r="C1988" t="s">
        <v>1607</v>
      </c>
      <c r="D1988" t="str">
        <f t="shared" si="31"/>
        <v>png</v>
      </c>
    </row>
    <row r="1989" spans="1:4" x14ac:dyDescent="0.25">
      <c r="A1989" t="s">
        <v>1782</v>
      </c>
      <c r="B1989" t="s">
        <v>2291</v>
      </c>
      <c r="C1989" t="s">
        <v>1608</v>
      </c>
      <c r="D1989" t="str">
        <f t="shared" si="31"/>
        <v>png</v>
      </c>
    </row>
    <row r="1990" spans="1:4" x14ac:dyDescent="0.25">
      <c r="A1990" t="s">
        <v>1782</v>
      </c>
      <c r="B1990" t="s">
        <v>2291</v>
      </c>
      <c r="C1990" t="s">
        <v>1609</v>
      </c>
      <c r="D1990" t="str">
        <f t="shared" si="31"/>
        <v>png</v>
      </c>
    </row>
    <row r="1991" spans="1:4" x14ac:dyDescent="0.25">
      <c r="A1991" t="s">
        <v>1782</v>
      </c>
      <c r="B1991" t="s">
        <v>2291</v>
      </c>
      <c r="C1991" t="s">
        <v>1610</v>
      </c>
      <c r="D1991" t="str">
        <f t="shared" si="31"/>
        <v>png</v>
      </c>
    </row>
    <row r="1992" spans="1:4" x14ac:dyDescent="0.25">
      <c r="A1992" t="s">
        <v>1782</v>
      </c>
      <c r="B1992" t="s">
        <v>2291</v>
      </c>
      <c r="C1992" t="s">
        <v>1611</v>
      </c>
      <c r="D1992" t="str">
        <f t="shared" si="31"/>
        <v>png</v>
      </c>
    </row>
    <row r="1993" spans="1:4" x14ac:dyDescent="0.25">
      <c r="A1993" t="s">
        <v>1782</v>
      </c>
      <c r="B1993" t="s">
        <v>2291</v>
      </c>
      <c r="C1993" t="s">
        <v>1612</v>
      </c>
      <c r="D1993" t="str">
        <f t="shared" si="31"/>
        <v>png</v>
      </c>
    </row>
    <row r="1994" spans="1:4" x14ac:dyDescent="0.25">
      <c r="A1994" t="s">
        <v>1782</v>
      </c>
      <c r="B1994" t="s">
        <v>2291</v>
      </c>
      <c r="C1994" t="s">
        <v>1613</v>
      </c>
      <c r="D1994" t="str">
        <f t="shared" si="31"/>
        <v>png</v>
      </c>
    </row>
    <row r="1995" spans="1:4" x14ac:dyDescent="0.25">
      <c r="A1995" t="s">
        <v>1782</v>
      </c>
      <c r="B1995" t="s">
        <v>2291</v>
      </c>
      <c r="C1995" t="s">
        <v>1614</v>
      </c>
      <c r="D1995" t="str">
        <f t="shared" si="31"/>
        <v>png</v>
      </c>
    </row>
    <row r="1996" spans="1:4" x14ac:dyDescent="0.25">
      <c r="A1996" t="s">
        <v>1782</v>
      </c>
      <c r="B1996" t="s">
        <v>2291</v>
      </c>
      <c r="C1996" t="s">
        <v>1615</v>
      </c>
      <c r="D1996" t="str">
        <f t="shared" si="31"/>
        <v>png</v>
      </c>
    </row>
    <row r="1997" spans="1:4" x14ac:dyDescent="0.25">
      <c r="A1997" t="s">
        <v>1782</v>
      </c>
      <c r="B1997" t="s">
        <v>2291</v>
      </c>
      <c r="C1997" t="s">
        <v>1616</v>
      </c>
      <c r="D1997" t="str">
        <f t="shared" si="31"/>
        <v>png</v>
      </c>
    </row>
    <row r="1998" spans="1:4" x14ac:dyDescent="0.25">
      <c r="A1998" t="s">
        <v>1782</v>
      </c>
      <c r="B1998" t="s">
        <v>2291</v>
      </c>
      <c r="C1998" t="s">
        <v>1617</v>
      </c>
      <c r="D1998" t="str">
        <f t="shared" si="31"/>
        <v>png</v>
      </c>
    </row>
    <row r="1999" spans="1:4" x14ac:dyDescent="0.25">
      <c r="A1999" t="s">
        <v>1782</v>
      </c>
      <c r="B1999" t="s">
        <v>2291</v>
      </c>
      <c r="C1999" t="s">
        <v>1618</v>
      </c>
      <c r="D1999" t="str">
        <f t="shared" si="31"/>
        <v>png</v>
      </c>
    </row>
    <row r="2000" spans="1:4" x14ac:dyDescent="0.25">
      <c r="A2000" t="s">
        <v>1782</v>
      </c>
      <c r="B2000" t="s">
        <v>2291</v>
      </c>
      <c r="C2000" t="s">
        <v>1619</v>
      </c>
      <c r="D2000" t="str">
        <f t="shared" si="31"/>
        <v>png</v>
      </c>
    </row>
    <row r="2001" spans="1:4" x14ac:dyDescent="0.25">
      <c r="A2001" t="s">
        <v>1782</v>
      </c>
      <c r="B2001" t="s">
        <v>2291</v>
      </c>
      <c r="C2001" t="s">
        <v>1620</v>
      </c>
      <c r="D2001" t="str">
        <f t="shared" si="31"/>
        <v>png</v>
      </c>
    </row>
    <row r="2002" spans="1:4" x14ac:dyDescent="0.25">
      <c r="A2002" t="s">
        <v>1782</v>
      </c>
      <c r="B2002" t="s">
        <v>2291</v>
      </c>
      <c r="C2002" t="s">
        <v>1621</v>
      </c>
      <c r="D2002" t="str">
        <f t="shared" si="31"/>
        <v>png</v>
      </c>
    </row>
    <row r="2003" spans="1:4" x14ac:dyDescent="0.25">
      <c r="A2003" t="s">
        <v>1782</v>
      </c>
      <c r="B2003" t="s">
        <v>2291</v>
      </c>
      <c r="C2003" t="s">
        <v>1622</v>
      </c>
      <c r="D2003" t="str">
        <f t="shared" si="31"/>
        <v>png</v>
      </c>
    </row>
    <row r="2004" spans="1:4" x14ac:dyDescent="0.25">
      <c r="A2004" t="s">
        <v>1782</v>
      </c>
      <c r="B2004" t="s">
        <v>2291</v>
      </c>
      <c r="C2004" t="s">
        <v>1623</v>
      </c>
      <c r="D2004" t="str">
        <f t="shared" si="31"/>
        <v>png</v>
      </c>
    </row>
    <row r="2005" spans="1:4" x14ac:dyDescent="0.25">
      <c r="A2005" t="s">
        <v>1782</v>
      </c>
      <c r="B2005" t="s">
        <v>2291</v>
      </c>
      <c r="C2005" t="s">
        <v>1624</v>
      </c>
      <c r="D2005" t="str">
        <f t="shared" si="31"/>
        <v>png</v>
      </c>
    </row>
    <row r="2006" spans="1:4" x14ac:dyDescent="0.25">
      <c r="A2006" t="s">
        <v>1782</v>
      </c>
      <c r="B2006" t="s">
        <v>2291</v>
      </c>
      <c r="C2006" t="s">
        <v>1625</v>
      </c>
      <c r="D2006" t="str">
        <f t="shared" si="31"/>
        <v>png</v>
      </c>
    </row>
    <row r="2007" spans="1:4" x14ac:dyDescent="0.25">
      <c r="A2007" t="s">
        <v>1782</v>
      </c>
      <c r="B2007" t="s">
        <v>2291</v>
      </c>
      <c r="C2007" t="s">
        <v>1626</v>
      </c>
      <c r="D2007" t="str">
        <f t="shared" si="31"/>
        <v>png</v>
      </c>
    </row>
    <row r="2008" spans="1:4" x14ac:dyDescent="0.25">
      <c r="A2008" t="s">
        <v>1782</v>
      </c>
      <c r="B2008" t="s">
        <v>2291</v>
      </c>
      <c r="C2008" t="s">
        <v>1627</v>
      </c>
      <c r="D2008" t="str">
        <f t="shared" si="31"/>
        <v>png</v>
      </c>
    </row>
    <row r="2009" spans="1:4" x14ac:dyDescent="0.25">
      <c r="A2009" t="s">
        <v>1782</v>
      </c>
      <c r="B2009" t="s">
        <v>2291</v>
      </c>
      <c r="C2009" t="s">
        <v>1628</v>
      </c>
      <c r="D2009" t="str">
        <f t="shared" si="31"/>
        <v>png</v>
      </c>
    </row>
    <row r="2010" spans="1:4" x14ac:dyDescent="0.25">
      <c r="A2010" t="s">
        <v>1782</v>
      </c>
      <c r="B2010" t="s">
        <v>2291</v>
      </c>
      <c r="C2010" t="s">
        <v>1629</v>
      </c>
      <c r="D2010" t="str">
        <f t="shared" si="31"/>
        <v>png</v>
      </c>
    </row>
    <row r="2011" spans="1:4" x14ac:dyDescent="0.25">
      <c r="A2011" t="s">
        <v>1782</v>
      </c>
      <c r="B2011" t="s">
        <v>2291</v>
      </c>
      <c r="C2011" t="s">
        <v>1630</v>
      </c>
      <c r="D2011" t="str">
        <f t="shared" si="31"/>
        <v>png</v>
      </c>
    </row>
    <row r="2012" spans="1:4" x14ac:dyDescent="0.25">
      <c r="A2012" t="s">
        <v>1782</v>
      </c>
      <c r="B2012" t="s">
        <v>2291</v>
      </c>
      <c r="C2012" t="s">
        <v>1631</v>
      </c>
      <c r="D2012" t="str">
        <f t="shared" si="31"/>
        <v>png</v>
      </c>
    </row>
    <row r="2013" spans="1:4" x14ac:dyDescent="0.25">
      <c r="A2013" t="s">
        <v>1782</v>
      </c>
      <c r="B2013" t="s">
        <v>2291</v>
      </c>
      <c r="C2013" t="s">
        <v>1632</v>
      </c>
      <c r="D2013" t="str">
        <f t="shared" si="31"/>
        <v>png</v>
      </c>
    </row>
    <row r="2014" spans="1:4" x14ac:dyDescent="0.25">
      <c r="A2014" t="s">
        <v>1782</v>
      </c>
      <c r="B2014" t="s">
        <v>2291</v>
      </c>
      <c r="C2014" t="s">
        <v>1633</v>
      </c>
      <c r="D2014" t="str">
        <f t="shared" si="31"/>
        <v>png</v>
      </c>
    </row>
    <row r="2015" spans="1:4" x14ac:dyDescent="0.25">
      <c r="A2015" t="s">
        <v>1782</v>
      </c>
      <c r="B2015" t="s">
        <v>2291</v>
      </c>
      <c r="C2015" t="s">
        <v>1634</v>
      </c>
      <c r="D2015" t="str">
        <f t="shared" si="31"/>
        <v>png</v>
      </c>
    </row>
    <row r="2016" spans="1:4" x14ac:dyDescent="0.25">
      <c r="A2016" t="s">
        <v>1782</v>
      </c>
      <c r="B2016" t="s">
        <v>2291</v>
      </c>
      <c r="C2016" t="s">
        <v>1635</v>
      </c>
      <c r="D2016" t="str">
        <f t="shared" si="31"/>
        <v>png</v>
      </c>
    </row>
    <row r="2017" spans="1:4" x14ac:dyDescent="0.25">
      <c r="A2017" t="s">
        <v>1782</v>
      </c>
      <c r="B2017" t="s">
        <v>2291</v>
      </c>
      <c r="C2017" t="s">
        <v>1636</v>
      </c>
      <c r="D2017" t="str">
        <f t="shared" si="31"/>
        <v>png</v>
      </c>
    </row>
    <row r="2018" spans="1:4" x14ac:dyDescent="0.25">
      <c r="A2018" t="s">
        <v>1782</v>
      </c>
      <c r="B2018" t="s">
        <v>2291</v>
      </c>
      <c r="C2018" t="s">
        <v>1637</v>
      </c>
      <c r="D2018" t="str">
        <f t="shared" si="31"/>
        <v>png</v>
      </c>
    </row>
    <row r="2019" spans="1:4" x14ac:dyDescent="0.25">
      <c r="A2019" t="s">
        <v>1782</v>
      </c>
      <c r="B2019" t="s">
        <v>2291</v>
      </c>
      <c r="C2019" t="s">
        <v>1638</v>
      </c>
      <c r="D2019" t="str">
        <f t="shared" si="31"/>
        <v>png</v>
      </c>
    </row>
    <row r="2020" spans="1:4" x14ac:dyDescent="0.25">
      <c r="A2020" t="s">
        <v>1782</v>
      </c>
      <c r="B2020" t="s">
        <v>2291</v>
      </c>
      <c r="C2020" t="s">
        <v>1639</v>
      </c>
      <c r="D2020" t="str">
        <f t="shared" si="31"/>
        <v>png</v>
      </c>
    </row>
    <row r="2021" spans="1:4" x14ac:dyDescent="0.25">
      <c r="A2021" t="s">
        <v>1782</v>
      </c>
      <c r="B2021" t="s">
        <v>2291</v>
      </c>
      <c r="C2021" t="s">
        <v>1640</v>
      </c>
      <c r="D2021" t="str">
        <f t="shared" si="31"/>
        <v>png</v>
      </c>
    </row>
    <row r="2022" spans="1:4" x14ac:dyDescent="0.25">
      <c r="A2022" t="s">
        <v>1782</v>
      </c>
      <c r="B2022" t="s">
        <v>2291</v>
      </c>
      <c r="C2022" t="s">
        <v>1641</v>
      </c>
      <c r="D2022" t="str">
        <f t="shared" si="31"/>
        <v>png</v>
      </c>
    </row>
    <row r="2023" spans="1:4" x14ac:dyDescent="0.25">
      <c r="A2023" t="s">
        <v>1782</v>
      </c>
      <c r="B2023" t="s">
        <v>2291</v>
      </c>
      <c r="C2023" t="s">
        <v>1642</v>
      </c>
      <c r="D2023" t="str">
        <f t="shared" si="31"/>
        <v>png</v>
      </c>
    </row>
    <row r="2024" spans="1:4" x14ac:dyDescent="0.25">
      <c r="A2024" t="s">
        <v>1782</v>
      </c>
      <c r="B2024" t="s">
        <v>2291</v>
      </c>
      <c r="C2024" t="s">
        <v>1643</v>
      </c>
      <c r="D2024" t="str">
        <f t="shared" si="31"/>
        <v>png</v>
      </c>
    </row>
    <row r="2025" spans="1:4" x14ac:dyDescent="0.25">
      <c r="A2025" t="s">
        <v>1782</v>
      </c>
      <c r="B2025" t="s">
        <v>2291</v>
      </c>
      <c r="C2025" t="s">
        <v>1644</v>
      </c>
      <c r="D2025" t="str">
        <f t="shared" si="31"/>
        <v>png</v>
      </c>
    </row>
    <row r="2026" spans="1:4" x14ac:dyDescent="0.25">
      <c r="A2026" t="s">
        <v>1782</v>
      </c>
      <c r="B2026" t="s">
        <v>2291</v>
      </c>
      <c r="C2026" t="s">
        <v>1645</v>
      </c>
      <c r="D2026" t="str">
        <f t="shared" si="31"/>
        <v>png</v>
      </c>
    </row>
    <row r="2027" spans="1:4" x14ac:dyDescent="0.25">
      <c r="A2027" t="s">
        <v>1782</v>
      </c>
      <c r="B2027" t="s">
        <v>2291</v>
      </c>
      <c r="C2027" t="s">
        <v>1646</v>
      </c>
      <c r="D2027" t="str">
        <f t="shared" si="31"/>
        <v>png</v>
      </c>
    </row>
    <row r="2028" spans="1:4" x14ac:dyDescent="0.25">
      <c r="A2028" t="s">
        <v>1783</v>
      </c>
      <c r="B2028" t="s">
        <v>2291</v>
      </c>
      <c r="C2028" t="s">
        <v>1647</v>
      </c>
      <c r="D2028" t="str">
        <f t="shared" si="31"/>
        <v>png</v>
      </c>
    </row>
    <row r="2029" spans="1:4" x14ac:dyDescent="0.25">
      <c r="A2029" t="s">
        <v>1783</v>
      </c>
      <c r="B2029" t="s">
        <v>2291</v>
      </c>
      <c r="C2029" t="s">
        <v>1648</v>
      </c>
      <c r="D2029" t="str">
        <f t="shared" si="31"/>
        <v>png</v>
      </c>
    </row>
    <row r="2030" spans="1:4" x14ac:dyDescent="0.25">
      <c r="A2030" t="s">
        <v>1783</v>
      </c>
      <c r="B2030" t="s">
        <v>2291</v>
      </c>
      <c r="C2030" t="s">
        <v>1649</v>
      </c>
      <c r="D2030" t="str">
        <f t="shared" si="31"/>
        <v>png</v>
      </c>
    </row>
    <row r="2031" spans="1:4" x14ac:dyDescent="0.25">
      <c r="A2031" t="s">
        <v>1783</v>
      </c>
      <c r="B2031" t="s">
        <v>2291</v>
      </c>
      <c r="C2031" t="s">
        <v>1650</v>
      </c>
      <c r="D2031" t="str">
        <f t="shared" si="31"/>
        <v>png</v>
      </c>
    </row>
    <row r="2032" spans="1:4" x14ac:dyDescent="0.25">
      <c r="A2032" t="s">
        <v>1783</v>
      </c>
      <c r="B2032" t="s">
        <v>2291</v>
      </c>
      <c r="C2032" t="s">
        <v>1651</v>
      </c>
      <c r="D2032" t="str">
        <f t="shared" si="31"/>
        <v>png</v>
      </c>
    </row>
    <row r="2033" spans="1:4" x14ac:dyDescent="0.25">
      <c r="A2033" t="s">
        <v>1783</v>
      </c>
      <c r="B2033" t="s">
        <v>2291</v>
      </c>
      <c r="C2033" t="s">
        <v>1652</v>
      </c>
      <c r="D2033" t="str">
        <f t="shared" si="31"/>
        <v>png</v>
      </c>
    </row>
    <row r="2034" spans="1:4" x14ac:dyDescent="0.25">
      <c r="A2034" t="s">
        <v>1783</v>
      </c>
      <c r="B2034" t="s">
        <v>2291</v>
      </c>
      <c r="C2034" t="s">
        <v>1653</v>
      </c>
      <c r="D2034" t="str">
        <f t="shared" si="31"/>
        <v>png</v>
      </c>
    </row>
    <row r="2035" spans="1:4" x14ac:dyDescent="0.25">
      <c r="A2035" t="s">
        <v>1783</v>
      </c>
      <c r="B2035" t="s">
        <v>2291</v>
      </c>
      <c r="C2035" t="s">
        <v>1654</v>
      </c>
      <c r="D2035" t="str">
        <f t="shared" si="31"/>
        <v>png</v>
      </c>
    </row>
    <row r="2036" spans="1:4" x14ac:dyDescent="0.25">
      <c r="A2036" t="s">
        <v>1783</v>
      </c>
      <c r="B2036" t="s">
        <v>2291</v>
      </c>
      <c r="C2036" t="s">
        <v>1655</v>
      </c>
      <c r="D2036" t="str">
        <f t="shared" si="31"/>
        <v>png</v>
      </c>
    </row>
    <row r="2037" spans="1:4" x14ac:dyDescent="0.25">
      <c r="A2037" t="s">
        <v>1783</v>
      </c>
      <c r="B2037" t="s">
        <v>2291</v>
      </c>
      <c r="C2037" t="s">
        <v>1656</v>
      </c>
      <c r="D2037" t="str">
        <f t="shared" si="31"/>
        <v>png</v>
      </c>
    </row>
    <row r="2038" spans="1:4" x14ac:dyDescent="0.25">
      <c r="A2038" t="s">
        <v>1783</v>
      </c>
      <c r="B2038" t="s">
        <v>2291</v>
      </c>
      <c r="C2038" t="s">
        <v>1657</v>
      </c>
      <c r="D2038" t="str">
        <f t="shared" si="31"/>
        <v>png</v>
      </c>
    </row>
    <row r="2039" spans="1:4" x14ac:dyDescent="0.25">
      <c r="A2039" t="s">
        <v>1783</v>
      </c>
      <c r="B2039" t="s">
        <v>2291</v>
      </c>
      <c r="C2039" t="s">
        <v>1658</v>
      </c>
      <c r="D2039" t="str">
        <f t="shared" si="31"/>
        <v>png</v>
      </c>
    </row>
    <row r="2040" spans="1:4" x14ac:dyDescent="0.25">
      <c r="A2040" t="s">
        <v>1783</v>
      </c>
      <c r="B2040" t="s">
        <v>2291</v>
      </c>
      <c r="C2040" t="s">
        <v>1659</v>
      </c>
      <c r="D2040" t="str">
        <f t="shared" si="31"/>
        <v>png</v>
      </c>
    </row>
    <row r="2041" spans="1:4" x14ac:dyDescent="0.25">
      <c r="A2041" t="s">
        <v>1783</v>
      </c>
      <c r="B2041" t="s">
        <v>2291</v>
      </c>
      <c r="C2041" t="s">
        <v>1660</v>
      </c>
      <c r="D2041" t="str">
        <f t="shared" si="31"/>
        <v>png</v>
      </c>
    </row>
    <row r="2042" spans="1:4" x14ac:dyDescent="0.25">
      <c r="A2042" t="s">
        <v>1783</v>
      </c>
      <c r="B2042" t="s">
        <v>2291</v>
      </c>
      <c r="C2042" t="s">
        <v>1661</v>
      </c>
      <c r="D2042" t="str">
        <f t="shared" si="31"/>
        <v>png</v>
      </c>
    </row>
    <row r="2043" spans="1:4" x14ac:dyDescent="0.25">
      <c r="A2043" t="s">
        <v>1783</v>
      </c>
      <c r="B2043" t="s">
        <v>2291</v>
      </c>
      <c r="C2043" t="s">
        <v>1662</v>
      </c>
      <c r="D2043" t="str">
        <f t="shared" si="31"/>
        <v>png</v>
      </c>
    </row>
    <row r="2044" spans="1:4" x14ac:dyDescent="0.25">
      <c r="A2044" t="s">
        <v>1783</v>
      </c>
      <c r="B2044" t="s">
        <v>2291</v>
      </c>
      <c r="C2044" t="s">
        <v>1663</v>
      </c>
      <c r="D2044" t="str">
        <f t="shared" si="31"/>
        <v>png</v>
      </c>
    </row>
    <row r="2045" spans="1:4" x14ac:dyDescent="0.25">
      <c r="A2045" t="s">
        <v>1783</v>
      </c>
      <c r="B2045" t="s">
        <v>2291</v>
      </c>
      <c r="C2045" t="s">
        <v>1664</v>
      </c>
      <c r="D2045" t="str">
        <f t="shared" si="31"/>
        <v>png</v>
      </c>
    </row>
    <row r="2046" spans="1:4" x14ac:dyDescent="0.25">
      <c r="A2046" t="s">
        <v>1783</v>
      </c>
      <c r="B2046" t="s">
        <v>2291</v>
      </c>
      <c r="C2046" t="s">
        <v>1665</v>
      </c>
      <c r="D2046" t="str">
        <f t="shared" si="31"/>
        <v>png</v>
      </c>
    </row>
    <row r="2047" spans="1:4" x14ac:dyDescent="0.25">
      <c r="A2047" t="s">
        <v>1783</v>
      </c>
      <c r="B2047" t="s">
        <v>2291</v>
      </c>
      <c r="C2047" t="s">
        <v>1666</v>
      </c>
      <c r="D2047" t="str">
        <f t="shared" si="31"/>
        <v>png</v>
      </c>
    </row>
    <row r="2048" spans="1:4" x14ac:dyDescent="0.25">
      <c r="A2048" t="s">
        <v>1783</v>
      </c>
      <c r="B2048" t="s">
        <v>2291</v>
      </c>
      <c r="C2048" t="s">
        <v>1667</v>
      </c>
      <c r="D2048" t="str">
        <f t="shared" si="31"/>
        <v>png</v>
      </c>
    </row>
    <row r="2049" spans="1:4" x14ac:dyDescent="0.25">
      <c r="A2049" t="s">
        <v>1783</v>
      </c>
      <c r="B2049" t="s">
        <v>2291</v>
      </c>
      <c r="C2049" t="s">
        <v>1668</v>
      </c>
      <c r="D2049" t="str">
        <f t="shared" si="31"/>
        <v>png</v>
      </c>
    </row>
    <row r="2050" spans="1:4" x14ac:dyDescent="0.25">
      <c r="A2050" t="s">
        <v>1783</v>
      </c>
      <c r="B2050" t="s">
        <v>2291</v>
      </c>
      <c r="C2050" t="s">
        <v>1669</v>
      </c>
      <c r="D2050" t="str">
        <f t="shared" si="31"/>
        <v>png</v>
      </c>
    </row>
    <row r="2051" spans="1:4" x14ac:dyDescent="0.25">
      <c r="A2051" t="s">
        <v>1783</v>
      </c>
      <c r="B2051" t="s">
        <v>2291</v>
      </c>
      <c r="C2051" t="s">
        <v>1670</v>
      </c>
      <c r="D2051" t="str">
        <f t="shared" ref="D2051:D2114" si="32">IF(ISNUMBER(SEARCH(".pdf",C2051)),"pdf",IF(ISNUMBER(SEARCH(".tif",C2051)),"tif",IF(ISNUMBER(SEARCH(".las",C2051)),"las",IF(ISNUMBER(SEARCH(".sdg",C2051)),"sdg",IF(ISNUMBER(SEARCH(".xlsx",C2051)),"xlsx",IF(ISNUMBER(SEARCH(".docx",C2051)),"docx",IF(ISNUMBER(SEARCH(".rhistory",C2051)),"rhistory",IF(ISNUMBER(SEARCH(".db",C2051)),"db",IF(ISNUMBER(SEARCH(".jpg",C2051)),"jpg",IF(ISNUMBER(SEARCH(".png",C2051)),"png",IF(ISNUMBER(SEARCH(".mdb",C2051)),"mdb",IF(ISNUMBER(SEARCH(".xml",C2051)),"xml",IF(ISNUMBER(SEARCH(".xls",C2051)),"xls",IF(ISNUMBER(SEARCH(".txt",C2051)),"txt",IF(ISNUMBER(SEARCH(".tsf",C2051)),"tsf",IF(ISNUMBER(SEARCH(".sch",C2051)),"sch","ZIP oder R"))))))))))))))))</f>
        <v>png</v>
      </c>
    </row>
    <row r="2052" spans="1:4" x14ac:dyDescent="0.25">
      <c r="A2052" t="s">
        <v>1783</v>
      </c>
      <c r="B2052" t="s">
        <v>2291</v>
      </c>
      <c r="C2052" t="s">
        <v>1671</v>
      </c>
      <c r="D2052" t="str">
        <f t="shared" si="32"/>
        <v>png</v>
      </c>
    </row>
    <row r="2053" spans="1:4" x14ac:dyDescent="0.25">
      <c r="A2053" t="s">
        <v>1783</v>
      </c>
      <c r="B2053" t="s">
        <v>2291</v>
      </c>
      <c r="C2053" t="s">
        <v>1672</v>
      </c>
      <c r="D2053" t="str">
        <f t="shared" si="32"/>
        <v>png</v>
      </c>
    </row>
    <row r="2054" spans="1:4" x14ac:dyDescent="0.25">
      <c r="A2054" t="s">
        <v>1783</v>
      </c>
      <c r="B2054" t="s">
        <v>2291</v>
      </c>
      <c r="C2054" t="s">
        <v>1673</v>
      </c>
      <c r="D2054" t="str">
        <f t="shared" si="32"/>
        <v>png</v>
      </c>
    </row>
    <row r="2055" spans="1:4" x14ac:dyDescent="0.25">
      <c r="A2055" t="s">
        <v>1783</v>
      </c>
      <c r="B2055" t="s">
        <v>2291</v>
      </c>
      <c r="C2055" t="s">
        <v>1674</v>
      </c>
      <c r="D2055" t="str">
        <f t="shared" si="32"/>
        <v>png</v>
      </c>
    </row>
    <row r="2056" spans="1:4" x14ac:dyDescent="0.25">
      <c r="A2056" t="s">
        <v>1783</v>
      </c>
      <c r="B2056" t="s">
        <v>2291</v>
      </c>
      <c r="C2056" t="s">
        <v>1675</v>
      </c>
      <c r="D2056" t="str">
        <f t="shared" si="32"/>
        <v>png</v>
      </c>
    </row>
    <row r="2057" spans="1:4" x14ac:dyDescent="0.25">
      <c r="A2057" t="s">
        <v>1783</v>
      </c>
      <c r="B2057" t="s">
        <v>2291</v>
      </c>
      <c r="C2057" t="s">
        <v>1676</v>
      </c>
      <c r="D2057" t="str">
        <f t="shared" si="32"/>
        <v>png</v>
      </c>
    </row>
    <row r="2058" spans="1:4" x14ac:dyDescent="0.25">
      <c r="A2058" t="s">
        <v>1783</v>
      </c>
      <c r="B2058" t="s">
        <v>2291</v>
      </c>
      <c r="C2058" t="s">
        <v>1677</v>
      </c>
      <c r="D2058" t="str">
        <f t="shared" si="32"/>
        <v>png</v>
      </c>
    </row>
    <row r="2059" spans="1:4" x14ac:dyDescent="0.25">
      <c r="A2059" t="s">
        <v>1783</v>
      </c>
      <c r="B2059" t="s">
        <v>2291</v>
      </c>
      <c r="C2059" t="s">
        <v>1678</v>
      </c>
      <c r="D2059" t="str">
        <f t="shared" si="32"/>
        <v>png</v>
      </c>
    </row>
    <row r="2060" spans="1:4" x14ac:dyDescent="0.25">
      <c r="A2060" t="s">
        <v>1783</v>
      </c>
      <c r="B2060" t="s">
        <v>2291</v>
      </c>
      <c r="C2060" t="s">
        <v>1679</v>
      </c>
      <c r="D2060" t="str">
        <f t="shared" si="32"/>
        <v>png</v>
      </c>
    </row>
    <row r="2061" spans="1:4" x14ac:dyDescent="0.25">
      <c r="A2061" t="s">
        <v>1783</v>
      </c>
      <c r="B2061" t="s">
        <v>2291</v>
      </c>
      <c r="C2061" t="s">
        <v>1680</v>
      </c>
      <c r="D2061" t="str">
        <f t="shared" si="32"/>
        <v>png</v>
      </c>
    </row>
    <row r="2062" spans="1:4" x14ac:dyDescent="0.25">
      <c r="A2062" t="s">
        <v>1783</v>
      </c>
      <c r="B2062" t="s">
        <v>2291</v>
      </c>
      <c r="C2062" t="s">
        <v>1681</v>
      </c>
      <c r="D2062" t="str">
        <f t="shared" si="32"/>
        <v>png</v>
      </c>
    </row>
    <row r="2063" spans="1:4" x14ac:dyDescent="0.25">
      <c r="A2063" t="s">
        <v>1783</v>
      </c>
      <c r="B2063" t="s">
        <v>2291</v>
      </c>
      <c r="C2063" t="s">
        <v>1682</v>
      </c>
      <c r="D2063" t="str">
        <f t="shared" si="32"/>
        <v>png</v>
      </c>
    </row>
    <row r="2064" spans="1:4" x14ac:dyDescent="0.25">
      <c r="A2064" t="s">
        <v>1783</v>
      </c>
      <c r="B2064" t="s">
        <v>2291</v>
      </c>
      <c r="C2064" t="s">
        <v>1683</v>
      </c>
      <c r="D2064" t="str">
        <f t="shared" si="32"/>
        <v>png</v>
      </c>
    </row>
    <row r="2065" spans="1:4" x14ac:dyDescent="0.25">
      <c r="A2065" t="s">
        <v>1783</v>
      </c>
      <c r="B2065" t="s">
        <v>2291</v>
      </c>
      <c r="C2065" t="s">
        <v>1684</v>
      </c>
      <c r="D2065" t="str">
        <f t="shared" si="32"/>
        <v>png</v>
      </c>
    </row>
    <row r="2066" spans="1:4" x14ac:dyDescent="0.25">
      <c r="A2066" t="s">
        <v>1783</v>
      </c>
      <c r="B2066" t="s">
        <v>2291</v>
      </c>
      <c r="C2066" t="s">
        <v>1685</v>
      </c>
      <c r="D2066" t="str">
        <f t="shared" si="32"/>
        <v>png</v>
      </c>
    </row>
    <row r="2067" spans="1:4" x14ac:dyDescent="0.25">
      <c r="A2067" t="s">
        <v>1783</v>
      </c>
      <c r="B2067" t="s">
        <v>2291</v>
      </c>
      <c r="C2067" t="s">
        <v>1686</v>
      </c>
      <c r="D2067" t="str">
        <f t="shared" si="32"/>
        <v>png</v>
      </c>
    </row>
    <row r="2068" spans="1:4" x14ac:dyDescent="0.25">
      <c r="A2068" t="s">
        <v>1783</v>
      </c>
      <c r="B2068" t="s">
        <v>2291</v>
      </c>
      <c r="C2068" t="s">
        <v>1687</v>
      </c>
      <c r="D2068" t="str">
        <f t="shared" si="32"/>
        <v>png</v>
      </c>
    </row>
    <row r="2069" spans="1:4" x14ac:dyDescent="0.25">
      <c r="A2069" t="s">
        <v>1783</v>
      </c>
      <c r="B2069" t="s">
        <v>2291</v>
      </c>
      <c r="C2069" t="s">
        <v>1688</v>
      </c>
      <c r="D2069" t="str">
        <f t="shared" si="32"/>
        <v>png</v>
      </c>
    </row>
    <row r="2070" spans="1:4" x14ac:dyDescent="0.25">
      <c r="A2070" t="s">
        <v>1783</v>
      </c>
      <c r="B2070" t="s">
        <v>2291</v>
      </c>
      <c r="C2070" t="s">
        <v>1689</v>
      </c>
      <c r="D2070" t="str">
        <f t="shared" si="32"/>
        <v>png</v>
      </c>
    </row>
    <row r="2071" spans="1:4" x14ac:dyDescent="0.25">
      <c r="A2071" t="s">
        <v>1783</v>
      </c>
      <c r="B2071" t="s">
        <v>2291</v>
      </c>
      <c r="C2071" t="s">
        <v>1690</v>
      </c>
      <c r="D2071" t="str">
        <f t="shared" si="32"/>
        <v>png</v>
      </c>
    </row>
    <row r="2072" spans="1:4" x14ac:dyDescent="0.25">
      <c r="A2072" t="s">
        <v>1783</v>
      </c>
      <c r="B2072" t="s">
        <v>2291</v>
      </c>
      <c r="C2072" t="s">
        <v>1691</v>
      </c>
      <c r="D2072" t="str">
        <f t="shared" si="32"/>
        <v>png</v>
      </c>
    </row>
    <row r="2073" spans="1:4" x14ac:dyDescent="0.25">
      <c r="A2073" t="s">
        <v>1783</v>
      </c>
      <c r="B2073" t="s">
        <v>2291</v>
      </c>
      <c r="C2073" t="s">
        <v>1692</v>
      </c>
      <c r="D2073" t="str">
        <f t="shared" si="32"/>
        <v>png</v>
      </c>
    </row>
    <row r="2074" spans="1:4" x14ac:dyDescent="0.25">
      <c r="A2074" t="s">
        <v>1783</v>
      </c>
      <c r="B2074" t="s">
        <v>2291</v>
      </c>
      <c r="C2074" t="s">
        <v>1693</v>
      </c>
      <c r="D2074" t="str">
        <f t="shared" si="32"/>
        <v>png</v>
      </c>
    </row>
    <row r="2075" spans="1:4" x14ac:dyDescent="0.25">
      <c r="A2075" t="s">
        <v>1783</v>
      </c>
      <c r="B2075" t="s">
        <v>2291</v>
      </c>
      <c r="C2075" t="s">
        <v>1694</v>
      </c>
      <c r="D2075" t="str">
        <f t="shared" si="32"/>
        <v>png</v>
      </c>
    </row>
    <row r="2076" spans="1:4" x14ac:dyDescent="0.25">
      <c r="A2076" t="s">
        <v>1783</v>
      </c>
      <c r="B2076" t="s">
        <v>2291</v>
      </c>
      <c r="C2076" t="s">
        <v>1695</v>
      </c>
      <c r="D2076" t="str">
        <f t="shared" si="32"/>
        <v>png</v>
      </c>
    </row>
    <row r="2077" spans="1:4" x14ac:dyDescent="0.25">
      <c r="A2077" t="s">
        <v>1783</v>
      </c>
      <c r="B2077" t="s">
        <v>2291</v>
      </c>
      <c r="C2077" t="s">
        <v>1696</v>
      </c>
      <c r="D2077" t="str">
        <f t="shared" si="32"/>
        <v>png</v>
      </c>
    </row>
    <row r="2078" spans="1:4" x14ac:dyDescent="0.25">
      <c r="A2078" t="s">
        <v>1784</v>
      </c>
      <c r="B2078" t="s">
        <v>2291</v>
      </c>
      <c r="C2078" t="s">
        <v>1697</v>
      </c>
      <c r="D2078" t="str">
        <f t="shared" si="32"/>
        <v>png</v>
      </c>
    </row>
    <row r="2079" spans="1:4" x14ac:dyDescent="0.25">
      <c r="A2079" t="s">
        <v>1784</v>
      </c>
      <c r="B2079" t="s">
        <v>2291</v>
      </c>
      <c r="C2079" t="s">
        <v>1698</v>
      </c>
      <c r="D2079" t="str">
        <f t="shared" si="32"/>
        <v>png</v>
      </c>
    </row>
    <row r="2080" spans="1:4" x14ac:dyDescent="0.25">
      <c r="A2080" t="s">
        <v>1784</v>
      </c>
      <c r="B2080" t="s">
        <v>2291</v>
      </c>
      <c r="C2080" t="s">
        <v>1699</v>
      </c>
      <c r="D2080" t="str">
        <f t="shared" si="32"/>
        <v>png</v>
      </c>
    </row>
    <row r="2081" spans="1:4" x14ac:dyDescent="0.25">
      <c r="A2081" t="s">
        <v>1784</v>
      </c>
      <c r="B2081" t="s">
        <v>2291</v>
      </c>
      <c r="C2081" t="s">
        <v>1700</v>
      </c>
      <c r="D2081" t="str">
        <f t="shared" si="32"/>
        <v>png</v>
      </c>
    </row>
    <row r="2082" spans="1:4" x14ac:dyDescent="0.25">
      <c r="A2082" t="s">
        <v>1784</v>
      </c>
      <c r="B2082" t="s">
        <v>2291</v>
      </c>
      <c r="C2082" t="s">
        <v>1701</v>
      </c>
      <c r="D2082" t="str">
        <f t="shared" si="32"/>
        <v>png</v>
      </c>
    </row>
    <row r="2083" spans="1:4" x14ac:dyDescent="0.25">
      <c r="A2083" t="s">
        <v>1784</v>
      </c>
      <c r="B2083" t="s">
        <v>2291</v>
      </c>
      <c r="C2083" t="s">
        <v>1702</v>
      </c>
      <c r="D2083" t="str">
        <f t="shared" si="32"/>
        <v>png</v>
      </c>
    </row>
    <row r="2084" spans="1:4" x14ac:dyDescent="0.25">
      <c r="A2084" t="s">
        <v>1784</v>
      </c>
      <c r="B2084" t="s">
        <v>2291</v>
      </c>
      <c r="C2084" t="s">
        <v>1703</v>
      </c>
      <c r="D2084" t="str">
        <f t="shared" si="32"/>
        <v>png</v>
      </c>
    </row>
    <row r="2085" spans="1:4" x14ac:dyDescent="0.25">
      <c r="A2085" t="s">
        <v>1784</v>
      </c>
      <c r="B2085" t="s">
        <v>2291</v>
      </c>
      <c r="C2085" t="s">
        <v>1704</v>
      </c>
      <c r="D2085" t="str">
        <f t="shared" si="32"/>
        <v>png</v>
      </c>
    </row>
    <row r="2086" spans="1:4" x14ac:dyDescent="0.25">
      <c r="A2086" t="s">
        <v>1784</v>
      </c>
      <c r="B2086" t="s">
        <v>2291</v>
      </c>
      <c r="C2086" t="s">
        <v>1705</v>
      </c>
      <c r="D2086" t="str">
        <f t="shared" si="32"/>
        <v>png</v>
      </c>
    </row>
    <row r="2087" spans="1:4" x14ac:dyDescent="0.25">
      <c r="A2087" t="s">
        <v>1784</v>
      </c>
      <c r="B2087" t="s">
        <v>2291</v>
      </c>
      <c r="C2087" t="s">
        <v>1706</v>
      </c>
      <c r="D2087" t="str">
        <f t="shared" si="32"/>
        <v>png</v>
      </c>
    </row>
    <row r="2088" spans="1:4" x14ac:dyDescent="0.25">
      <c r="A2088" t="s">
        <v>1784</v>
      </c>
      <c r="B2088" t="s">
        <v>2291</v>
      </c>
      <c r="C2088" t="s">
        <v>1707</v>
      </c>
      <c r="D2088" t="str">
        <f t="shared" si="32"/>
        <v>png</v>
      </c>
    </row>
    <row r="2089" spans="1:4" x14ac:dyDescent="0.25">
      <c r="A2089" t="s">
        <v>1784</v>
      </c>
      <c r="B2089" t="s">
        <v>2291</v>
      </c>
      <c r="C2089" t="s">
        <v>1708</v>
      </c>
      <c r="D2089" t="str">
        <f t="shared" si="32"/>
        <v>png</v>
      </c>
    </row>
    <row r="2090" spans="1:4" x14ac:dyDescent="0.25">
      <c r="A2090" t="s">
        <v>1784</v>
      </c>
      <c r="B2090" t="s">
        <v>2291</v>
      </c>
      <c r="C2090" t="s">
        <v>1709</v>
      </c>
      <c r="D2090" t="str">
        <f t="shared" si="32"/>
        <v>png</v>
      </c>
    </row>
    <row r="2091" spans="1:4" x14ac:dyDescent="0.25">
      <c r="A2091" t="s">
        <v>1784</v>
      </c>
      <c r="B2091" t="s">
        <v>2291</v>
      </c>
      <c r="C2091" t="s">
        <v>1710</v>
      </c>
      <c r="D2091" t="str">
        <f t="shared" si="32"/>
        <v>png</v>
      </c>
    </row>
    <row r="2092" spans="1:4" x14ac:dyDescent="0.25">
      <c r="A2092" t="s">
        <v>1784</v>
      </c>
      <c r="B2092" t="s">
        <v>2291</v>
      </c>
      <c r="C2092" t="s">
        <v>1711</v>
      </c>
      <c r="D2092" t="str">
        <f t="shared" si="32"/>
        <v>png</v>
      </c>
    </row>
    <row r="2093" spans="1:4" x14ac:dyDescent="0.25">
      <c r="A2093" t="s">
        <v>1784</v>
      </c>
      <c r="B2093" t="s">
        <v>2291</v>
      </c>
      <c r="C2093" t="s">
        <v>1712</v>
      </c>
      <c r="D2093" t="str">
        <f t="shared" si="32"/>
        <v>png</v>
      </c>
    </row>
    <row r="2094" spans="1:4" x14ac:dyDescent="0.25">
      <c r="A2094" t="s">
        <v>1784</v>
      </c>
      <c r="B2094" t="s">
        <v>2291</v>
      </c>
      <c r="C2094" t="s">
        <v>1713</v>
      </c>
      <c r="D2094" t="str">
        <f t="shared" si="32"/>
        <v>png</v>
      </c>
    </row>
    <row r="2095" spans="1:4" x14ac:dyDescent="0.25">
      <c r="A2095" t="s">
        <v>1784</v>
      </c>
      <c r="B2095" t="s">
        <v>2291</v>
      </c>
      <c r="C2095" t="s">
        <v>1714</v>
      </c>
      <c r="D2095" t="str">
        <f t="shared" si="32"/>
        <v>png</v>
      </c>
    </row>
    <row r="2096" spans="1:4" x14ac:dyDescent="0.25">
      <c r="A2096" t="s">
        <v>1784</v>
      </c>
      <c r="B2096" t="s">
        <v>2291</v>
      </c>
      <c r="C2096" t="s">
        <v>1715</v>
      </c>
      <c r="D2096" t="str">
        <f t="shared" si="32"/>
        <v>png</v>
      </c>
    </row>
    <row r="2097" spans="1:4" x14ac:dyDescent="0.25">
      <c r="A2097" t="s">
        <v>1784</v>
      </c>
      <c r="B2097" t="s">
        <v>2291</v>
      </c>
      <c r="C2097" t="s">
        <v>1716</v>
      </c>
      <c r="D2097" t="str">
        <f t="shared" si="32"/>
        <v>png</v>
      </c>
    </row>
    <row r="2098" spans="1:4" x14ac:dyDescent="0.25">
      <c r="A2098" t="s">
        <v>1784</v>
      </c>
      <c r="B2098" t="s">
        <v>2291</v>
      </c>
      <c r="C2098" t="s">
        <v>1717</v>
      </c>
      <c r="D2098" t="str">
        <f t="shared" si="32"/>
        <v>png</v>
      </c>
    </row>
    <row r="2099" spans="1:4" x14ac:dyDescent="0.25">
      <c r="A2099" t="s">
        <v>1784</v>
      </c>
      <c r="B2099" t="s">
        <v>2291</v>
      </c>
      <c r="C2099" t="s">
        <v>1718</v>
      </c>
      <c r="D2099" t="str">
        <f t="shared" si="32"/>
        <v>png</v>
      </c>
    </row>
    <row r="2100" spans="1:4" x14ac:dyDescent="0.25">
      <c r="A2100" t="s">
        <v>1784</v>
      </c>
      <c r="B2100" t="s">
        <v>2291</v>
      </c>
      <c r="C2100" t="s">
        <v>1719</v>
      </c>
      <c r="D2100" t="str">
        <f t="shared" si="32"/>
        <v>png</v>
      </c>
    </row>
    <row r="2101" spans="1:4" x14ac:dyDescent="0.25">
      <c r="A2101" t="s">
        <v>1784</v>
      </c>
      <c r="B2101" t="s">
        <v>2291</v>
      </c>
      <c r="C2101" t="s">
        <v>1720</v>
      </c>
      <c r="D2101" t="str">
        <f t="shared" si="32"/>
        <v>png</v>
      </c>
    </row>
    <row r="2102" spans="1:4" x14ac:dyDescent="0.25">
      <c r="A2102" t="s">
        <v>1784</v>
      </c>
      <c r="B2102" t="s">
        <v>2291</v>
      </c>
      <c r="C2102" t="s">
        <v>1721</v>
      </c>
      <c r="D2102" t="str">
        <f t="shared" si="32"/>
        <v>png</v>
      </c>
    </row>
    <row r="2103" spans="1:4" x14ac:dyDescent="0.25">
      <c r="A2103" t="s">
        <v>1784</v>
      </c>
      <c r="B2103" t="s">
        <v>2291</v>
      </c>
      <c r="C2103" t="s">
        <v>1722</v>
      </c>
      <c r="D2103" t="str">
        <f t="shared" si="32"/>
        <v>png</v>
      </c>
    </row>
    <row r="2104" spans="1:4" x14ac:dyDescent="0.25">
      <c r="A2104" t="s">
        <v>1784</v>
      </c>
      <c r="B2104" t="s">
        <v>2291</v>
      </c>
      <c r="C2104" t="s">
        <v>1723</v>
      </c>
      <c r="D2104" t="str">
        <f t="shared" si="32"/>
        <v>png</v>
      </c>
    </row>
    <row r="2105" spans="1:4" x14ac:dyDescent="0.25">
      <c r="A2105" t="s">
        <v>1784</v>
      </c>
      <c r="B2105" t="s">
        <v>2291</v>
      </c>
      <c r="C2105" t="s">
        <v>1724</v>
      </c>
      <c r="D2105" t="str">
        <f t="shared" si="32"/>
        <v>png</v>
      </c>
    </row>
    <row r="2106" spans="1:4" x14ac:dyDescent="0.25">
      <c r="A2106" t="s">
        <v>1784</v>
      </c>
      <c r="B2106" t="s">
        <v>2291</v>
      </c>
      <c r="C2106" t="s">
        <v>1725</v>
      </c>
      <c r="D2106" t="str">
        <f t="shared" si="32"/>
        <v>png</v>
      </c>
    </row>
    <row r="2107" spans="1:4" x14ac:dyDescent="0.25">
      <c r="A2107" t="s">
        <v>1784</v>
      </c>
      <c r="B2107" t="s">
        <v>2291</v>
      </c>
      <c r="C2107" t="s">
        <v>1726</v>
      </c>
      <c r="D2107" t="str">
        <f t="shared" si="32"/>
        <v>png</v>
      </c>
    </row>
    <row r="2108" spans="1:4" x14ac:dyDescent="0.25">
      <c r="A2108" t="s">
        <v>1784</v>
      </c>
      <c r="B2108" t="s">
        <v>2291</v>
      </c>
      <c r="C2108" t="s">
        <v>1727</v>
      </c>
      <c r="D2108" t="str">
        <f t="shared" si="32"/>
        <v>png</v>
      </c>
    </row>
    <row r="2109" spans="1:4" x14ac:dyDescent="0.25">
      <c r="A2109" t="s">
        <v>1784</v>
      </c>
      <c r="B2109" t="s">
        <v>2291</v>
      </c>
      <c r="C2109" t="s">
        <v>1728</v>
      </c>
      <c r="D2109" t="str">
        <f t="shared" si="32"/>
        <v>png</v>
      </c>
    </row>
    <row r="2110" spans="1:4" x14ac:dyDescent="0.25">
      <c r="A2110" t="s">
        <v>1784</v>
      </c>
      <c r="B2110" t="s">
        <v>2291</v>
      </c>
      <c r="C2110" t="s">
        <v>1729</v>
      </c>
      <c r="D2110" t="str">
        <f t="shared" si="32"/>
        <v>png</v>
      </c>
    </row>
    <row r="2111" spans="1:4" x14ac:dyDescent="0.25">
      <c r="A2111" t="s">
        <v>1784</v>
      </c>
      <c r="B2111" t="s">
        <v>2291</v>
      </c>
      <c r="C2111" t="s">
        <v>1730</v>
      </c>
      <c r="D2111" t="str">
        <f t="shared" si="32"/>
        <v>png</v>
      </c>
    </row>
    <row r="2112" spans="1:4" x14ac:dyDescent="0.25">
      <c r="A2112" t="s">
        <v>1784</v>
      </c>
      <c r="B2112" t="s">
        <v>2291</v>
      </c>
      <c r="C2112" t="s">
        <v>1731</v>
      </c>
      <c r="D2112" t="str">
        <f t="shared" si="32"/>
        <v>png</v>
      </c>
    </row>
    <row r="2113" spans="1:4" x14ac:dyDescent="0.25">
      <c r="A2113" t="s">
        <v>1784</v>
      </c>
      <c r="B2113" t="s">
        <v>2291</v>
      </c>
      <c r="C2113" t="s">
        <v>1732</v>
      </c>
      <c r="D2113" t="str">
        <f t="shared" si="32"/>
        <v>png</v>
      </c>
    </row>
    <row r="2114" spans="1:4" x14ac:dyDescent="0.25">
      <c r="A2114" t="s">
        <v>1784</v>
      </c>
      <c r="B2114" t="s">
        <v>2291</v>
      </c>
      <c r="C2114" t="s">
        <v>1733</v>
      </c>
      <c r="D2114" t="str">
        <f t="shared" si="32"/>
        <v>png</v>
      </c>
    </row>
    <row r="2115" spans="1:4" x14ac:dyDescent="0.25">
      <c r="A2115" t="s">
        <v>1784</v>
      </c>
      <c r="B2115" t="s">
        <v>2291</v>
      </c>
      <c r="C2115" t="s">
        <v>1734</v>
      </c>
      <c r="D2115" t="str">
        <f t="shared" ref="D2115:D2178" si="33">IF(ISNUMBER(SEARCH(".pdf",C2115)),"pdf",IF(ISNUMBER(SEARCH(".tif",C2115)),"tif",IF(ISNUMBER(SEARCH(".las",C2115)),"las",IF(ISNUMBER(SEARCH(".sdg",C2115)),"sdg",IF(ISNUMBER(SEARCH(".xlsx",C2115)),"xlsx",IF(ISNUMBER(SEARCH(".docx",C2115)),"docx",IF(ISNUMBER(SEARCH(".rhistory",C2115)),"rhistory",IF(ISNUMBER(SEARCH(".db",C2115)),"db",IF(ISNUMBER(SEARCH(".jpg",C2115)),"jpg",IF(ISNUMBER(SEARCH(".png",C2115)),"png",IF(ISNUMBER(SEARCH(".mdb",C2115)),"mdb",IF(ISNUMBER(SEARCH(".xml",C2115)),"xml",IF(ISNUMBER(SEARCH(".xls",C2115)),"xls",IF(ISNUMBER(SEARCH(".txt",C2115)),"txt",IF(ISNUMBER(SEARCH(".tsf",C2115)),"tsf",IF(ISNUMBER(SEARCH(".sch",C2115)),"sch","ZIP oder R"))))))))))))))))</f>
        <v>png</v>
      </c>
    </row>
    <row r="2116" spans="1:4" x14ac:dyDescent="0.25">
      <c r="A2116" t="s">
        <v>1784</v>
      </c>
      <c r="B2116" t="s">
        <v>2291</v>
      </c>
      <c r="C2116" t="s">
        <v>1735</v>
      </c>
      <c r="D2116" t="str">
        <f t="shared" si="33"/>
        <v>png</v>
      </c>
    </row>
    <row r="2117" spans="1:4" x14ac:dyDescent="0.25">
      <c r="A2117" t="s">
        <v>1784</v>
      </c>
      <c r="B2117" t="s">
        <v>2291</v>
      </c>
      <c r="C2117" t="s">
        <v>1736</v>
      </c>
      <c r="D2117" t="str">
        <f t="shared" si="33"/>
        <v>png</v>
      </c>
    </row>
    <row r="2118" spans="1:4" x14ac:dyDescent="0.25">
      <c r="A2118" t="s">
        <v>1784</v>
      </c>
      <c r="B2118" t="s">
        <v>2291</v>
      </c>
      <c r="C2118" t="s">
        <v>1737</v>
      </c>
      <c r="D2118" t="str">
        <f t="shared" si="33"/>
        <v>png</v>
      </c>
    </row>
    <row r="2119" spans="1:4" x14ac:dyDescent="0.25">
      <c r="A2119" t="s">
        <v>1784</v>
      </c>
      <c r="B2119" t="s">
        <v>2291</v>
      </c>
      <c r="C2119" t="s">
        <v>1738</v>
      </c>
      <c r="D2119" t="str">
        <f t="shared" si="33"/>
        <v>png</v>
      </c>
    </row>
    <row r="2120" spans="1:4" x14ac:dyDescent="0.25">
      <c r="A2120" t="s">
        <v>1784</v>
      </c>
      <c r="B2120" t="s">
        <v>2291</v>
      </c>
      <c r="C2120" t="s">
        <v>1739</v>
      </c>
      <c r="D2120" t="str">
        <f t="shared" si="33"/>
        <v>png</v>
      </c>
    </row>
    <row r="2121" spans="1:4" x14ac:dyDescent="0.25">
      <c r="A2121" t="s">
        <v>1784</v>
      </c>
      <c r="B2121" t="s">
        <v>2291</v>
      </c>
      <c r="C2121" t="s">
        <v>1740</v>
      </c>
      <c r="D2121" t="str">
        <f t="shared" si="33"/>
        <v>png</v>
      </c>
    </row>
    <row r="2122" spans="1:4" x14ac:dyDescent="0.25">
      <c r="A2122" t="s">
        <v>1784</v>
      </c>
      <c r="B2122" t="s">
        <v>2291</v>
      </c>
      <c r="C2122" t="s">
        <v>1741</v>
      </c>
      <c r="D2122" t="str">
        <f t="shared" si="33"/>
        <v>png</v>
      </c>
    </row>
    <row r="2123" spans="1:4" x14ac:dyDescent="0.25">
      <c r="A2123" t="s">
        <v>1784</v>
      </c>
      <c r="B2123" t="s">
        <v>2291</v>
      </c>
      <c r="C2123" t="s">
        <v>1742</v>
      </c>
      <c r="D2123" t="str">
        <f t="shared" si="33"/>
        <v>png</v>
      </c>
    </row>
    <row r="2124" spans="1:4" x14ac:dyDescent="0.25">
      <c r="A2124" t="s">
        <v>1784</v>
      </c>
      <c r="B2124" t="s">
        <v>2291</v>
      </c>
      <c r="C2124" t="s">
        <v>1743</v>
      </c>
      <c r="D2124" t="str">
        <f t="shared" si="33"/>
        <v>png</v>
      </c>
    </row>
    <row r="2125" spans="1:4" x14ac:dyDescent="0.25">
      <c r="A2125" t="s">
        <v>1784</v>
      </c>
      <c r="B2125" t="s">
        <v>2291</v>
      </c>
      <c r="C2125" t="s">
        <v>1744</v>
      </c>
      <c r="D2125" t="str">
        <f t="shared" si="33"/>
        <v>png</v>
      </c>
    </row>
    <row r="2126" spans="1:4" x14ac:dyDescent="0.25">
      <c r="A2126" t="s">
        <v>1784</v>
      </c>
      <c r="B2126" t="s">
        <v>2291</v>
      </c>
      <c r="C2126" t="s">
        <v>1745</v>
      </c>
      <c r="D2126" t="str">
        <f t="shared" si="33"/>
        <v>png</v>
      </c>
    </row>
    <row r="2127" spans="1:4" x14ac:dyDescent="0.25">
      <c r="A2127" t="s">
        <v>1784</v>
      </c>
      <c r="B2127" t="s">
        <v>2291</v>
      </c>
      <c r="C2127" t="s">
        <v>1746</v>
      </c>
      <c r="D2127" t="str">
        <f t="shared" si="33"/>
        <v>png</v>
      </c>
    </row>
    <row r="2128" spans="1:4" x14ac:dyDescent="0.25">
      <c r="A2128" t="s">
        <v>1784</v>
      </c>
      <c r="B2128" t="s">
        <v>2291</v>
      </c>
      <c r="C2128" t="s">
        <v>1747</v>
      </c>
      <c r="D2128" t="str">
        <f t="shared" si="33"/>
        <v>png</v>
      </c>
    </row>
    <row r="2129" spans="1:4" x14ac:dyDescent="0.25">
      <c r="A2129" t="s">
        <v>1784</v>
      </c>
      <c r="B2129" t="s">
        <v>2291</v>
      </c>
      <c r="C2129" t="s">
        <v>1748</v>
      </c>
      <c r="D2129" t="str">
        <f t="shared" si="33"/>
        <v>png</v>
      </c>
    </row>
    <row r="2130" spans="1:4" x14ac:dyDescent="0.25">
      <c r="A2130" t="s">
        <v>1784</v>
      </c>
      <c r="B2130" t="s">
        <v>2291</v>
      </c>
      <c r="C2130" t="s">
        <v>1749</v>
      </c>
      <c r="D2130" t="str">
        <f t="shared" si="33"/>
        <v>png</v>
      </c>
    </row>
    <row r="2131" spans="1:4" x14ac:dyDescent="0.25">
      <c r="A2131" t="s">
        <v>1784</v>
      </c>
      <c r="B2131" t="s">
        <v>2291</v>
      </c>
      <c r="C2131" t="s">
        <v>1750</v>
      </c>
      <c r="D2131" t="str">
        <f t="shared" si="33"/>
        <v>png</v>
      </c>
    </row>
    <row r="2132" spans="1:4" x14ac:dyDescent="0.25">
      <c r="A2132" t="s">
        <v>1784</v>
      </c>
      <c r="B2132" t="s">
        <v>2291</v>
      </c>
      <c r="C2132" t="s">
        <v>1751</v>
      </c>
      <c r="D2132" t="str">
        <f t="shared" si="33"/>
        <v>png</v>
      </c>
    </row>
    <row r="2133" spans="1:4" x14ac:dyDescent="0.25">
      <c r="A2133" t="s">
        <v>1784</v>
      </c>
      <c r="B2133" t="s">
        <v>2291</v>
      </c>
      <c r="C2133" t="s">
        <v>1752</v>
      </c>
      <c r="D2133" t="str">
        <f t="shared" si="33"/>
        <v>png</v>
      </c>
    </row>
    <row r="2134" spans="1:4" x14ac:dyDescent="0.25">
      <c r="A2134" t="s">
        <v>1784</v>
      </c>
      <c r="B2134" t="s">
        <v>2291</v>
      </c>
      <c r="C2134" t="s">
        <v>1753</v>
      </c>
      <c r="D2134" t="str">
        <f t="shared" si="33"/>
        <v>png</v>
      </c>
    </row>
    <row r="2135" spans="1:4" x14ac:dyDescent="0.25">
      <c r="A2135" t="s">
        <v>1784</v>
      </c>
      <c r="B2135" t="s">
        <v>2291</v>
      </c>
      <c r="C2135" t="s">
        <v>1754</v>
      </c>
      <c r="D2135" t="str">
        <f t="shared" si="33"/>
        <v>png</v>
      </c>
    </row>
    <row r="2136" spans="1:4" x14ac:dyDescent="0.25">
      <c r="A2136" t="s">
        <v>1784</v>
      </c>
      <c r="B2136" t="s">
        <v>2291</v>
      </c>
      <c r="C2136" t="s">
        <v>1755</v>
      </c>
      <c r="D2136" t="str">
        <f t="shared" si="33"/>
        <v>png</v>
      </c>
    </row>
    <row r="2137" spans="1:4" x14ac:dyDescent="0.25">
      <c r="A2137" t="s">
        <v>1784</v>
      </c>
      <c r="B2137" t="s">
        <v>2291</v>
      </c>
      <c r="C2137" t="s">
        <v>1756</v>
      </c>
      <c r="D2137" t="str">
        <f t="shared" si="33"/>
        <v>png</v>
      </c>
    </row>
    <row r="2138" spans="1:4" x14ac:dyDescent="0.25">
      <c r="A2138" t="s">
        <v>1784</v>
      </c>
      <c r="B2138" t="s">
        <v>2291</v>
      </c>
      <c r="C2138" t="s">
        <v>1757</v>
      </c>
      <c r="D2138" t="str">
        <f t="shared" si="33"/>
        <v>png</v>
      </c>
    </row>
    <row r="2139" spans="1:4" x14ac:dyDescent="0.25">
      <c r="A2139" t="s">
        <v>1784</v>
      </c>
      <c r="B2139" t="s">
        <v>2291</v>
      </c>
      <c r="C2139" t="s">
        <v>1758</v>
      </c>
      <c r="D2139" t="str">
        <f t="shared" si="33"/>
        <v>png</v>
      </c>
    </row>
    <row r="2140" spans="1:4" x14ac:dyDescent="0.25">
      <c r="A2140" t="s">
        <v>1784</v>
      </c>
      <c r="B2140" t="s">
        <v>2291</v>
      </c>
      <c r="C2140" t="s">
        <v>1759</v>
      </c>
      <c r="D2140" t="str">
        <f t="shared" si="33"/>
        <v>png</v>
      </c>
    </row>
    <row r="2141" spans="1:4" x14ac:dyDescent="0.25">
      <c r="A2141" t="s">
        <v>1784</v>
      </c>
      <c r="B2141" t="s">
        <v>2291</v>
      </c>
      <c r="C2141" t="s">
        <v>1760</v>
      </c>
      <c r="D2141" t="str">
        <f t="shared" si="33"/>
        <v>png</v>
      </c>
    </row>
    <row r="2142" spans="1:4" x14ac:dyDescent="0.25">
      <c r="A2142" t="s">
        <v>1784</v>
      </c>
      <c r="B2142" t="s">
        <v>2291</v>
      </c>
      <c r="C2142" t="s">
        <v>1761</v>
      </c>
      <c r="D2142" t="str">
        <f t="shared" si="33"/>
        <v>png</v>
      </c>
    </row>
    <row r="2143" spans="1:4" x14ac:dyDescent="0.25">
      <c r="A2143" t="s">
        <v>1784</v>
      </c>
      <c r="B2143" t="s">
        <v>2291</v>
      </c>
      <c r="C2143" t="s">
        <v>1762</v>
      </c>
      <c r="D2143" t="str">
        <f t="shared" si="33"/>
        <v>png</v>
      </c>
    </row>
    <row r="2144" spans="1:4" x14ac:dyDescent="0.25">
      <c r="A2144" t="s">
        <v>1784</v>
      </c>
      <c r="B2144" t="s">
        <v>2291</v>
      </c>
      <c r="C2144" t="s">
        <v>1763</v>
      </c>
      <c r="D2144" t="str">
        <f t="shared" si="33"/>
        <v>png</v>
      </c>
    </row>
    <row r="2145" spans="1:4" x14ac:dyDescent="0.25">
      <c r="A2145" t="s">
        <v>1784</v>
      </c>
      <c r="B2145" t="s">
        <v>2291</v>
      </c>
      <c r="C2145" t="s">
        <v>1764</v>
      </c>
      <c r="D2145" t="str">
        <f t="shared" si="33"/>
        <v>png</v>
      </c>
    </row>
    <row r="2146" spans="1:4" x14ac:dyDescent="0.25">
      <c r="A2146" t="s">
        <v>1784</v>
      </c>
      <c r="B2146" t="s">
        <v>2291</v>
      </c>
      <c r="C2146" t="s">
        <v>1765</v>
      </c>
      <c r="D2146" t="str">
        <f t="shared" si="33"/>
        <v>png</v>
      </c>
    </row>
    <row r="2147" spans="1:4" x14ac:dyDescent="0.25">
      <c r="A2147" t="s">
        <v>1784</v>
      </c>
      <c r="B2147" t="s">
        <v>2291</v>
      </c>
      <c r="C2147" t="s">
        <v>1766</v>
      </c>
      <c r="D2147" t="str">
        <f t="shared" si="33"/>
        <v>png</v>
      </c>
    </row>
    <row r="2148" spans="1:4" x14ac:dyDescent="0.25">
      <c r="A2148" t="s">
        <v>1784</v>
      </c>
      <c r="B2148" t="s">
        <v>2291</v>
      </c>
      <c r="C2148" t="s">
        <v>1767</v>
      </c>
      <c r="D2148" t="str">
        <f t="shared" si="33"/>
        <v>png</v>
      </c>
    </row>
    <row r="2149" spans="1:4" x14ac:dyDescent="0.25">
      <c r="A2149" t="s">
        <v>1784</v>
      </c>
      <c r="B2149" t="s">
        <v>2291</v>
      </c>
      <c r="C2149" t="s">
        <v>1768</v>
      </c>
      <c r="D2149" t="str">
        <f t="shared" si="33"/>
        <v>png</v>
      </c>
    </row>
    <row r="2150" spans="1:4" x14ac:dyDescent="0.25">
      <c r="A2150" t="s">
        <v>1784</v>
      </c>
      <c r="B2150" t="s">
        <v>2291</v>
      </c>
      <c r="C2150" t="s">
        <v>1769</v>
      </c>
      <c r="D2150" t="str">
        <f t="shared" si="33"/>
        <v>png</v>
      </c>
    </row>
    <row r="2151" spans="1:4" x14ac:dyDescent="0.25">
      <c r="A2151" t="s">
        <v>1784</v>
      </c>
      <c r="B2151" t="s">
        <v>2291</v>
      </c>
      <c r="C2151" t="s">
        <v>1770</v>
      </c>
      <c r="D2151" t="str">
        <f t="shared" si="33"/>
        <v>png</v>
      </c>
    </row>
    <row r="2152" spans="1:4" x14ac:dyDescent="0.25">
      <c r="A2152" t="s">
        <v>1784</v>
      </c>
      <c r="B2152" t="s">
        <v>2291</v>
      </c>
      <c r="C2152" t="s">
        <v>1771</v>
      </c>
      <c r="D2152" t="str">
        <f t="shared" si="33"/>
        <v>png</v>
      </c>
    </row>
    <row r="2153" spans="1:4" x14ac:dyDescent="0.25">
      <c r="A2153" t="s">
        <v>1784</v>
      </c>
      <c r="B2153" t="s">
        <v>2291</v>
      </c>
      <c r="C2153" t="s">
        <v>1772</v>
      </c>
      <c r="D2153" t="str">
        <f t="shared" si="33"/>
        <v>png</v>
      </c>
    </row>
    <row r="2154" spans="1:4" x14ac:dyDescent="0.25">
      <c r="A2154" t="s">
        <v>1784</v>
      </c>
      <c r="B2154" t="s">
        <v>2291</v>
      </c>
      <c r="C2154" t="s">
        <v>1773</v>
      </c>
      <c r="D2154" t="str">
        <f t="shared" si="33"/>
        <v>png</v>
      </c>
    </row>
    <row r="2155" spans="1:4" x14ac:dyDescent="0.25">
      <c r="A2155" t="s">
        <v>1784</v>
      </c>
      <c r="B2155" t="s">
        <v>2291</v>
      </c>
      <c r="C2155" t="s">
        <v>1774</v>
      </c>
      <c r="D2155" t="str">
        <f t="shared" si="33"/>
        <v>png</v>
      </c>
    </row>
    <row r="2156" spans="1:4" x14ac:dyDescent="0.25">
      <c r="A2156" t="s">
        <v>1784</v>
      </c>
      <c r="B2156" t="s">
        <v>2291</v>
      </c>
      <c r="C2156" t="s">
        <v>1775</v>
      </c>
      <c r="D2156" t="str">
        <f t="shared" si="33"/>
        <v>png</v>
      </c>
    </row>
    <row r="2157" spans="1:4" x14ac:dyDescent="0.25">
      <c r="A2157" t="s">
        <v>1784</v>
      </c>
      <c r="B2157" t="s">
        <v>2291</v>
      </c>
      <c r="C2157" t="s">
        <v>1776</v>
      </c>
      <c r="D2157" t="str">
        <f t="shared" si="33"/>
        <v>png</v>
      </c>
    </row>
    <row r="2158" spans="1:4" x14ac:dyDescent="0.25">
      <c r="A2158" t="s">
        <v>1784</v>
      </c>
      <c r="B2158" t="s">
        <v>2291</v>
      </c>
      <c r="C2158" t="s">
        <v>1777</v>
      </c>
      <c r="D2158" t="str">
        <f t="shared" si="33"/>
        <v>png</v>
      </c>
    </row>
    <row r="2159" spans="1:4" x14ac:dyDescent="0.25">
      <c r="A2159" t="s">
        <v>1784</v>
      </c>
      <c r="B2159" t="s">
        <v>2291</v>
      </c>
      <c r="C2159" t="s">
        <v>1778</v>
      </c>
      <c r="D2159" t="str">
        <f t="shared" si="33"/>
        <v>png</v>
      </c>
    </row>
    <row r="2160" spans="1:4" x14ac:dyDescent="0.25">
      <c r="A2160" t="s">
        <v>1785</v>
      </c>
      <c r="B2160" t="s">
        <v>2291</v>
      </c>
      <c r="C2160" t="s">
        <v>1786</v>
      </c>
      <c r="D2160" t="str">
        <f t="shared" si="33"/>
        <v>png</v>
      </c>
    </row>
    <row r="2161" spans="1:4" x14ac:dyDescent="0.25">
      <c r="A2161" t="s">
        <v>1785</v>
      </c>
      <c r="B2161" t="s">
        <v>2291</v>
      </c>
      <c r="C2161" t="s">
        <v>1787</v>
      </c>
      <c r="D2161" t="str">
        <f t="shared" si="33"/>
        <v>png</v>
      </c>
    </row>
    <row r="2162" spans="1:4" x14ac:dyDescent="0.25">
      <c r="A2162" t="s">
        <v>1785</v>
      </c>
      <c r="B2162" t="s">
        <v>2291</v>
      </c>
      <c r="C2162" t="s">
        <v>1788</v>
      </c>
      <c r="D2162" t="str">
        <f t="shared" si="33"/>
        <v>png</v>
      </c>
    </row>
    <row r="2163" spans="1:4" x14ac:dyDescent="0.25">
      <c r="A2163" t="s">
        <v>1785</v>
      </c>
      <c r="B2163" t="s">
        <v>2291</v>
      </c>
      <c r="C2163" t="s">
        <v>1789</v>
      </c>
      <c r="D2163" t="str">
        <f t="shared" si="33"/>
        <v>png</v>
      </c>
    </row>
    <row r="2164" spans="1:4" x14ac:dyDescent="0.25">
      <c r="A2164" t="s">
        <v>1785</v>
      </c>
      <c r="B2164" t="s">
        <v>2291</v>
      </c>
      <c r="C2164" t="s">
        <v>1790</v>
      </c>
      <c r="D2164" t="str">
        <f t="shared" si="33"/>
        <v>png</v>
      </c>
    </row>
    <row r="2165" spans="1:4" x14ac:dyDescent="0.25">
      <c r="A2165" t="s">
        <v>1785</v>
      </c>
      <c r="B2165" t="s">
        <v>2291</v>
      </c>
      <c r="C2165" t="s">
        <v>1791</v>
      </c>
      <c r="D2165" t="str">
        <f t="shared" si="33"/>
        <v>png</v>
      </c>
    </row>
    <row r="2166" spans="1:4" x14ac:dyDescent="0.25">
      <c r="A2166" t="s">
        <v>1792</v>
      </c>
      <c r="B2166" t="s">
        <v>2291</v>
      </c>
      <c r="C2166" t="s">
        <v>1793</v>
      </c>
      <c r="D2166" t="str">
        <f t="shared" si="33"/>
        <v>pdf</v>
      </c>
    </row>
    <row r="2167" spans="1:4" x14ac:dyDescent="0.25">
      <c r="A2167" t="s">
        <v>1794</v>
      </c>
      <c r="B2167" t="s">
        <v>2291</v>
      </c>
      <c r="C2167" t="s">
        <v>1795</v>
      </c>
      <c r="D2167" t="str">
        <f t="shared" si="33"/>
        <v>sdg</v>
      </c>
    </row>
    <row r="2168" spans="1:4" x14ac:dyDescent="0.25">
      <c r="A2168" t="s">
        <v>1796</v>
      </c>
      <c r="B2168" t="s">
        <v>2293</v>
      </c>
      <c r="C2168" t="s">
        <v>1797</v>
      </c>
      <c r="D2168" t="str">
        <f t="shared" si="33"/>
        <v>pdf</v>
      </c>
    </row>
    <row r="2169" spans="1:4" x14ac:dyDescent="0.25">
      <c r="A2169" t="s">
        <v>1796</v>
      </c>
      <c r="B2169" t="s">
        <v>2293</v>
      </c>
      <c r="C2169" t="s">
        <v>1798</v>
      </c>
      <c r="D2169" t="str">
        <f t="shared" si="33"/>
        <v>pdf</v>
      </c>
    </row>
    <row r="2170" spans="1:4" x14ac:dyDescent="0.25">
      <c r="A2170" t="s">
        <v>1796</v>
      </c>
      <c r="B2170" t="s">
        <v>2293</v>
      </c>
      <c r="C2170" t="s">
        <v>1799</v>
      </c>
      <c r="D2170" t="str">
        <f t="shared" si="33"/>
        <v>pdf</v>
      </c>
    </row>
    <row r="2171" spans="1:4" x14ac:dyDescent="0.25">
      <c r="A2171" t="s">
        <v>1796</v>
      </c>
      <c r="B2171" t="s">
        <v>2293</v>
      </c>
      <c r="C2171" t="s">
        <v>1800</v>
      </c>
      <c r="D2171" t="str">
        <f t="shared" si="33"/>
        <v>pdf</v>
      </c>
    </row>
    <row r="2172" spans="1:4" x14ac:dyDescent="0.25">
      <c r="A2172" t="s">
        <v>1796</v>
      </c>
      <c r="B2172" t="s">
        <v>2293</v>
      </c>
      <c r="C2172" t="s">
        <v>1801</v>
      </c>
      <c r="D2172" t="str">
        <f t="shared" si="33"/>
        <v>pdf</v>
      </c>
    </row>
    <row r="2173" spans="1:4" x14ac:dyDescent="0.25">
      <c r="A2173" t="s">
        <v>1796</v>
      </c>
      <c r="B2173" t="s">
        <v>2293</v>
      </c>
      <c r="C2173" t="s">
        <v>1802</v>
      </c>
      <c r="D2173" t="str">
        <f t="shared" si="33"/>
        <v>pdf</v>
      </c>
    </row>
    <row r="2174" spans="1:4" x14ac:dyDescent="0.25">
      <c r="A2174" t="s">
        <v>1796</v>
      </c>
      <c r="B2174" t="s">
        <v>2293</v>
      </c>
      <c r="C2174" t="s">
        <v>1803</v>
      </c>
      <c r="D2174" t="str">
        <f t="shared" si="33"/>
        <v>pdf</v>
      </c>
    </row>
    <row r="2175" spans="1:4" x14ac:dyDescent="0.25">
      <c r="A2175" t="s">
        <v>1796</v>
      </c>
      <c r="B2175" t="s">
        <v>2293</v>
      </c>
      <c r="C2175" t="s">
        <v>1804</v>
      </c>
      <c r="D2175" t="str">
        <f t="shared" si="33"/>
        <v>pdf</v>
      </c>
    </row>
    <row r="2176" spans="1:4" x14ac:dyDescent="0.25">
      <c r="A2176" t="s">
        <v>1805</v>
      </c>
      <c r="B2176" t="s">
        <v>2294</v>
      </c>
      <c r="C2176" t="s">
        <v>1806</v>
      </c>
      <c r="D2176" t="str">
        <f t="shared" si="33"/>
        <v>pdf</v>
      </c>
    </row>
    <row r="2177" spans="1:4" x14ac:dyDescent="0.25">
      <c r="A2177" t="s">
        <v>1805</v>
      </c>
      <c r="B2177" t="s">
        <v>2294</v>
      </c>
      <c r="C2177" t="s">
        <v>1807</v>
      </c>
      <c r="D2177" t="str">
        <f t="shared" si="33"/>
        <v>pdf</v>
      </c>
    </row>
    <row r="2178" spans="1:4" x14ac:dyDescent="0.25">
      <c r="A2178" t="s">
        <v>1805</v>
      </c>
      <c r="B2178" t="s">
        <v>2294</v>
      </c>
      <c r="C2178" t="s">
        <v>1808</v>
      </c>
      <c r="D2178" t="str">
        <f t="shared" si="33"/>
        <v>pdf</v>
      </c>
    </row>
    <row r="2179" spans="1:4" x14ac:dyDescent="0.25">
      <c r="A2179" t="s">
        <v>1805</v>
      </c>
      <c r="B2179" t="s">
        <v>2294</v>
      </c>
      <c r="C2179" t="s">
        <v>1809</v>
      </c>
      <c r="D2179" t="str">
        <f t="shared" ref="D2179:D2242" si="34">IF(ISNUMBER(SEARCH(".pdf",C2179)),"pdf",IF(ISNUMBER(SEARCH(".tif",C2179)),"tif",IF(ISNUMBER(SEARCH(".las",C2179)),"las",IF(ISNUMBER(SEARCH(".sdg",C2179)),"sdg",IF(ISNUMBER(SEARCH(".xlsx",C2179)),"xlsx",IF(ISNUMBER(SEARCH(".docx",C2179)),"docx",IF(ISNUMBER(SEARCH(".rhistory",C2179)),"rhistory",IF(ISNUMBER(SEARCH(".db",C2179)),"db",IF(ISNUMBER(SEARCH(".jpg",C2179)),"jpg",IF(ISNUMBER(SEARCH(".png",C2179)),"png",IF(ISNUMBER(SEARCH(".mdb",C2179)),"mdb",IF(ISNUMBER(SEARCH(".xml",C2179)),"xml",IF(ISNUMBER(SEARCH(".xls",C2179)),"xls",IF(ISNUMBER(SEARCH(".txt",C2179)),"txt",IF(ISNUMBER(SEARCH(".tsf",C2179)),"tsf",IF(ISNUMBER(SEARCH(".sch",C2179)),"sch","ZIP oder R"))))))))))))))))</f>
        <v>pdf</v>
      </c>
    </row>
    <row r="2180" spans="1:4" x14ac:dyDescent="0.25">
      <c r="A2180" t="s">
        <v>1805</v>
      </c>
      <c r="B2180" t="s">
        <v>2294</v>
      </c>
      <c r="C2180" t="s">
        <v>1810</v>
      </c>
      <c r="D2180" t="str">
        <f t="shared" si="34"/>
        <v>pdf</v>
      </c>
    </row>
    <row r="2181" spans="1:4" x14ac:dyDescent="0.25">
      <c r="A2181" t="s">
        <v>1811</v>
      </c>
      <c r="B2181" t="s">
        <v>2295</v>
      </c>
      <c r="C2181" t="s">
        <v>1812</v>
      </c>
      <c r="D2181" t="str">
        <f t="shared" si="34"/>
        <v>pdf</v>
      </c>
    </row>
    <row r="2182" spans="1:4" x14ac:dyDescent="0.25">
      <c r="A2182" t="s">
        <v>1811</v>
      </c>
      <c r="B2182" t="s">
        <v>2295</v>
      </c>
      <c r="C2182" t="s">
        <v>1813</v>
      </c>
      <c r="D2182" t="str">
        <f t="shared" si="34"/>
        <v>pdf</v>
      </c>
    </row>
    <row r="2183" spans="1:4" x14ac:dyDescent="0.25">
      <c r="A2183" t="s">
        <v>1811</v>
      </c>
      <c r="B2183" t="s">
        <v>2295</v>
      </c>
      <c r="C2183" t="s">
        <v>1814</v>
      </c>
      <c r="D2183" t="str">
        <f t="shared" si="34"/>
        <v>pdf</v>
      </c>
    </row>
    <row r="2184" spans="1:4" x14ac:dyDescent="0.25">
      <c r="A2184" t="s">
        <v>1811</v>
      </c>
      <c r="B2184" t="s">
        <v>2295</v>
      </c>
      <c r="C2184" t="s">
        <v>1815</v>
      </c>
      <c r="D2184" t="str">
        <f t="shared" si="34"/>
        <v>pdf</v>
      </c>
    </row>
    <row r="2185" spans="1:4" x14ac:dyDescent="0.25">
      <c r="A2185" t="s">
        <v>1811</v>
      </c>
      <c r="B2185" t="s">
        <v>2295</v>
      </c>
      <c r="C2185" t="s">
        <v>1816</v>
      </c>
      <c r="D2185" t="str">
        <f t="shared" si="34"/>
        <v>pdf</v>
      </c>
    </row>
    <row r="2186" spans="1:4" x14ac:dyDescent="0.25">
      <c r="A2186" t="s">
        <v>1811</v>
      </c>
      <c r="B2186" t="s">
        <v>2295</v>
      </c>
      <c r="C2186" t="s">
        <v>1817</v>
      </c>
      <c r="D2186" t="str">
        <f t="shared" si="34"/>
        <v>pdf</v>
      </c>
    </row>
    <row r="2187" spans="1:4" x14ac:dyDescent="0.25">
      <c r="A2187" t="s">
        <v>1818</v>
      </c>
      <c r="B2187" t="s">
        <v>2296</v>
      </c>
      <c r="C2187" t="s">
        <v>1819</v>
      </c>
      <c r="D2187" t="str">
        <f t="shared" si="34"/>
        <v>pdf</v>
      </c>
    </row>
    <row r="2188" spans="1:4" x14ac:dyDescent="0.25">
      <c r="A2188" t="s">
        <v>1818</v>
      </c>
      <c r="B2188" t="s">
        <v>2296</v>
      </c>
      <c r="C2188" t="s">
        <v>1820</v>
      </c>
      <c r="D2188" t="str">
        <f t="shared" si="34"/>
        <v>tif</v>
      </c>
    </row>
    <row r="2189" spans="1:4" x14ac:dyDescent="0.25">
      <c r="A2189" t="s">
        <v>1818</v>
      </c>
      <c r="B2189" t="s">
        <v>2296</v>
      </c>
      <c r="C2189" t="s">
        <v>1821</v>
      </c>
      <c r="D2189" t="str">
        <f t="shared" si="34"/>
        <v>tif</v>
      </c>
    </row>
    <row r="2190" spans="1:4" x14ac:dyDescent="0.25">
      <c r="A2190" t="s">
        <v>1818</v>
      </c>
      <c r="B2190" t="s">
        <v>2296</v>
      </c>
      <c r="C2190" t="s">
        <v>1822</v>
      </c>
      <c r="D2190" t="str">
        <f t="shared" si="34"/>
        <v>pdf</v>
      </c>
    </row>
    <row r="2191" spans="1:4" x14ac:dyDescent="0.25">
      <c r="A2191" t="s">
        <v>1818</v>
      </c>
      <c r="B2191" t="s">
        <v>2296</v>
      </c>
      <c r="C2191" t="s">
        <v>1823</v>
      </c>
      <c r="D2191" t="str">
        <f t="shared" si="34"/>
        <v>pdf</v>
      </c>
    </row>
    <row r="2192" spans="1:4" x14ac:dyDescent="0.25">
      <c r="A2192" t="s">
        <v>1824</v>
      </c>
      <c r="B2192" t="s">
        <v>2241</v>
      </c>
      <c r="C2192" t="s">
        <v>1825</v>
      </c>
      <c r="D2192" t="str">
        <f t="shared" si="34"/>
        <v>las</v>
      </c>
    </row>
    <row r="2193" spans="1:4" x14ac:dyDescent="0.25">
      <c r="A2193" t="s">
        <v>1824</v>
      </c>
      <c r="B2193" t="s">
        <v>2241</v>
      </c>
      <c r="C2193" t="s">
        <v>1826</v>
      </c>
      <c r="D2193" t="str">
        <f t="shared" si="34"/>
        <v>pdf</v>
      </c>
    </row>
    <row r="2194" spans="1:4" x14ac:dyDescent="0.25">
      <c r="A2194" t="s">
        <v>1824</v>
      </c>
      <c r="B2194" t="s">
        <v>2241</v>
      </c>
      <c r="C2194" t="s">
        <v>1827</v>
      </c>
      <c r="D2194" t="str">
        <f t="shared" si="34"/>
        <v>pdf</v>
      </c>
    </row>
    <row r="2195" spans="1:4" x14ac:dyDescent="0.25">
      <c r="A2195" t="s">
        <v>1824</v>
      </c>
      <c r="B2195" t="s">
        <v>2241</v>
      </c>
      <c r="C2195" t="s">
        <v>1828</v>
      </c>
      <c r="D2195" t="str">
        <f t="shared" si="34"/>
        <v>sdg</v>
      </c>
    </row>
    <row r="2196" spans="1:4" x14ac:dyDescent="0.25">
      <c r="A2196" t="s">
        <v>1824</v>
      </c>
      <c r="B2196" t="s">
        <v>2241</v>
      </c>
      <c r="C2196" t="s">
        <v>1829</v>
      </c>
      <c r="D2196" t="str">
        <f t="shared" si="34"/>
        <v>xlsx</v>
      </c>
    </row>
    <row r="2197" spans="1:4" x14ac:dyDescent="0.25">
      <c r="A2197" t="s">
        <v>1830</v>
      </c>
      <c r="B2197" t="s">
        <v>2242</v>
      </c>
      <c r="C2197" t="s">
        <v>1831</v>
      </c>
      <c r="D2197" t="str">
        <f t="shared" si="34"/>
        <v>las</v>
      </c>
    </row>
    <row r="2198" spans="1:4" x14ac:dyDescent="0.25">
      <c r="A2198" t="s">
        <v>1830</v>
      </c>
      <c r="B2198" t="s">
        <v>2242</v>
      </c>
      <c r="C2198" t="s">
        <v>1832</v>
      </c>
      <c r="D2198" t="str">
        <f t="shared" si="34"/>
        <v>las</v>
      </c>
    </row>
    <row r="2199" spans="1:4" x14ac:dyDescent="0.25">
      <c r="A2199" t="s">
        <v>1830</v>
      </c>
      <c r="B2199" t="s">
        <v>2242</v>
      </c>
      <c r="C2199" t="s">
        <v>1833</v>
      </c>
      <c r="D2199" t="str">
        <f t="shared" si="34"/>
        <v>sdg</v>
      </c>
    </row>
    <row r="2200" spans="1:4" x14ac:dyDescent="0.25">
      <c r="A2200" t="s">
        <v>1830</v>
      </c>
      <c r="B2200" t="s">
        <v>2242</v>
      </c>
      <c r="C2200" t="s">
        <v>1834</v>
      </c>
      <c r="D2200" t="str">
        <f t="shared" si="34"/>
        <v>xlsx</v>
      </c>
    </row>
    <row r="2201" spans="1:4" x14ac:dyDescent="0.25">
      <c r="A2201" t="s">
        <v>1835</v>
      </c>
      <c r="B2201" t="s">
        <v>2243</v>
      </c>
      <c r="C2201" t="s">
        <v>1836</v>
      </c>
      <c r="D2201" t="str">
        <f t="shared" si="34"/>
        <v>sdg</v>
      </c>
    </row>
    <row r="2202" spans="1:4" x14ac:dyDescent="0.25">
      <c r="A2202" t="s">
        <v>1835</v>
      </c>
      <c r="B2202" t="s">
        <v>2243</v>
      </c>
      <c r="C2202" t="s">
        <v>1837</v>
      </c>
      <c r="D2202" t="str">
        <f t="shared" si="34"/>
        <v>xlsx</v>
      </c>
    </row>
    <row r="2203" spans="1:4" x14ac:dyDescent="0.25">
      <c r="A2203" t="s">
        <v>1835</v>
      </c>
      <c r="B2203" t="s">
        <v>2243</v>
      </c>
      <c r="C2203" t="s">
        <v>1838</v>
      </c>
      <c r="D2203" t="str">
        <f t="shared" si="34"/>
        <v>pdf</v>
      </c>
    </row>
    <row r="2204" spans="1:4" x14ac:dyDescent="0.25">
      <c r="A2204" t="s">
        <v>1839</v>
      </c>
      <c r="B2204" t="s">
        <v>2243</v>
      </c>
      <c r="C2204" t="s">
        <v>1840</v>
      </c>
      <c r="D2204" t="str">
        <f t="shared" si="34"/>
        <v>docx</v>
      </c>
    </row>
    <row r="2205" spans="1:4" x14ac:dyDescent="0.25">
      <c r="A2205" t="s">
        <v>1839</v>
      </c>
      <c r="B2205" t="s">
        <v>2243</v>
      </c>
      <c r="C2205" t="s">
        <v>1841</v>
      </c>
      <c r="D2205" t="str">
        <f t="shared" si="34"/>
        <v>las</v>
      </c>
    </row>
    <row r="2206" spans="1:4" x14ac:dyDescent="0.25">
      <c r="A2206" t="s">
        <v>1839</v>
      </c>
      <c r="B2206" t="s">
        <v>2243</v>
      </c>
      <c r="C2206" t="s">
        <v>1842</v>
      </c>
      <c r="D2206" t="str">
        <f t="shared" si="34"/>
        <v>tif</v>
      </c>
    </row>
    <row r="2207" spans="1:4" x14ac:dyDescent="0.25">
      <c r="A2207" t="s">
        <v>1839</v>
      </c>
      <c r="B2207" t="s">
        <v>2243</v>
      </c>
      <c r="C2207" t="s">
        <v>32</v>
      </c>
      <c r="D2207" t="str">
        <f t="shared" si="34"/>
        <v>db</v>
      </c>
    </row>
    <row r="2208" spans="1:4" x14ac:dyDescent="0.25">
      <c r="A2208" t="s">
        <v>1843</v>
      </c>
      <c r="B2208" t="s">
        <v>2243</v>
      </c>
      <c r="C2208" t="s">
        <v>1844</v>
      </c>
      <c r="D2208" t="str">
        <f t="shared" si="34"/>
        <v>las</v>
      </c>
    </row>
    <row r="2209" spans="1:4" x14ac:dyDescent="0.25">
      <c r="A2209" t="s">
        <v>1845</v>
      </c>
      <c r="B2209" t="s">
        <v>2244</v>
      </c>
      <c r="C2209" t="s">
        <v>1846</v>
      </c>
      <c r="D2209" t="str">
        <f t="shared" si="34"/>
        <v>pdf</v>
      </c>
    </row>
    <row r="2210" spans="1:4" x14ac:dyDescent="0.25">
      <c r="A2210" t="s">
        <v>1845</v>
      </c>
      <c r="B2210" t="s">
        <v>2244</v>
      </c>
      <c r="C2210" t="s">
        <v>1847</v>
      </c>
      <c r="D2210" t="str">
        <f t="shared" si="34"/>
        <v>pdf</v>
      </c>
    </row>
    <row r="2211" spans="1:4" x14ac:dyDescent="0.25">
      <c r="A2211" t="s">
        <v>1848</v>
      </c>
      <c r="B2211" t="s">
        <v>2245</v>
      </c>
      <c r="C2211" t="s">
        <v>1849</v>
      </c>
      <c r="D2211" t="str">
        <f t="shared" si="34"/>
        <v>pdf</v>
      </c>
    </row>
    <row r="2212" spans="1:4" x14ac:dyDescent="0.25">
      <c r="A2212" t="s">
        <v>1848</v>
      </c>
      <c r="B2212" t="s">
        <v>2245</v>
      </c>
      <c r="C2212" t="s">
        <v>1850</v>
      </c>
      <c r="D2212" t="str">
        <f t="shared" si="34"/>
        <v>pdf</v>
      </c>
    </row>
    <row r="2213" spans="1:4" x14ac:dyDescent="0.25">
      <c r="A2213" t="s">
        <v>1851</v>
      </c>
      <c r="B2213" t="s">
        <v>2246</v>
      </c>
      <c r="C2213" t="s">
        <v>1852</v>
      </c>
      <c r="D2213" t="str">
        <f t="shared" si="34"/>
        <v>las</v>
      </c>
    </row>
    <row r="2214" spans="1:4" x14ac:dyDescent="0.25">
      <c r="A2214" t="s">
        <v>1851</v>
      </c>
      <c r="B2214" t="s">
        <v>2246</v>
      </c>
      <c r="C2214" t="s">
        <v>1853</v>
      </c>
      <c r="D2214" t="str">
        <f t="shared" si="34"/>
        <v>las</v>
      </c>
    </row>
    <row r="2215" spans="1:4" x14ac:dyDescent="0.25">
      <c r="A2215" t="s">
        <v>1851</v>
      </c>
      <c r="B2215" t="s">
        <v>2246</v>
      </c>
      <c r="C2215" t="s">
        <v>1854</v>
      </c>
      <c r="D2215" t="str">
        <f t="shared" si="34"/>
        <v>las</v>
      </c>
    </row>
    <row r="2216" spans="1:4" x14ac:dyDescent="0.25">
      <c r="A2216" t="s">
        <v>1851</v>
      </c>
      <c r="B2216" t="s">
        <v>2246</v>
      </c>
      <c r="C2216" t="s">
        <v>1855</v>
      </c>
      <c r="D2216" t="str">
        <f t="shared" si="34"/>
        <v>sdg</v>
      </c>
    </row>
    <row r="2217" spans="1:4" x14ac:dyDescent="0.25">
      <c r="A2217" t="s">
        <v>1851</v>
      </c>
      <c r="B2217" t="s">
        <v>2246</v>
      </c>
      <c r="C2217" t="s">
        <v>1856</v>
      </c>
      <c r="D2217" t="str">
        <f t="shared" si="34"/>
        <v>xlsx</v>
      </c>
    </row>
    <row r="2218" spans="1:4" x14ac:dyDescent="0.25">
      <c r="A2218" t="s">
        <v>1857</v>
      </c>
      <c r="B2218" t="s">
        <v>2247</v>
      </c>
      <c r="C2218" t="s">
        <v>1858</v>
      </c>
      <c r="D2218" t="str">
        <f t="shared" si="34"/>
        <v>pdf</v>
      </c>
    </row>
    <row r="2219" spans="1:4" x14ac:dyDescent="0.25">
      <c r="A2219" t="s">
        <v>1857</v>
      </c>
      <c r="B2219" t="s">
        <v>2247</v>
      </c>
      <c r="C2219" t="s">
        <v>1859</v>
      </c>
      <c r="D2219" t="str">
        <f t="shared" si="34"/>
        <v>tif</v>
      </c>
    </row>
    <row r="2220" spans="1:4" x14ac:dyDescent="0.25">
      <c r="A2220" t="s">
        <v>1857</v>
      </c>
      <c r="B2220" t="s">
        <v>2247</v>
      </c>
      <c r="C2220" t="s">
        <v>1860</v>
      </c>
      <c r="D2220" t="str">
        <f t="shared" si="34"/>
        <v>tif</v>
      </c>
    </row>
    <row r="2221" spans="1:4" x14ac:dyDescent="0.25">
      <c r="A2221" t="s">
        <v>1857</v>
      </c>
      <c r="B2221" t="s">
        <v>2247</v>
      </c>
      <c r="C2221" t="s">
        <v>1861</v>
      </c>
      <c r="D2221" t="str">
        <f t="shared" si="34"/>
        <v>tif</v>
      </c>
    </row>
    <row r="2222" spans="1:4" x14ac:dyDescent="0.25">
      <c r="A2222" t="s">
        <v>1857</v>
      </c>
      <c r="B2222" t="s">
        <v>2247</v>
      </c>
      <c r="C2222" t="s">
        <v>1862</v>
      </c>
      <c r="D2222" t="str">
        <f t="shared" si="34"/>
        <v>tif</v>
      </c>
    </row>
    <row r="2223" spans="1:4" x14ac:dyDescent="0.25">
      <c r="A2223" t="s">
        <v>1857</v>
      </c>
      <c r="B2223" t="s">
        <v>2247</v>
      </c>
      <c r="C2223" t="s">
        <v>1863</v>
      </c>
      <c r="D2223" t="str">
        <f t="shared" si="34"/>
        <v>tif</v>
      </c>
    </row>
    <row r="2224" spans="1:4" x14ac:dyDescent="0.25">
      <c r="A2224" t="s">
        <v>1857</v>
      </c>
      <c r="B2224" t="s">
        <v>2247</v>
      </c>
      <c r="C2224" t="s">
        <v>1864</v>
      </c>
      <c r="D2224" t="str">
        <f t="shared" si="34"/>
        <v>tif</v>
      </c>
    </row>
    <row r="2225" spans="1:4" x14ac:dyDescent="0.25">
      <c r="A2225" t="s">
        <v>1857</v>
      </c>
      <c r="B2225" t="s">
        <v>2247</v>
      </c>
      <c r="C2225" t="s">
        <v>1865</v>
      </c>
      <c r="D2225" t="str">
        <f t="shared" si="34"/>
        <v>tif</v>
      </c>
    </row>
    <row r="2226" spans="1:4" x14ac:dyDescent="0.25">
      <c r="A2226" t="s">
        <v>1857</v>
      </c>
      <c r="B2226" t="s">
        <v>2247</v>
      </c>
      <c r="C2226" t="s">
        <v>1866</v>
      </c>
      <c r="D2226" t="str">
        <f t="shared" si="34"/>
        <v>tif</v>
      </c>
    </row>
    <row r="2227" spans="1:4" x14ac:dyDescent="0.25">
      <c r="A2227" t="s">
        <v>1857</v>
      </c>
      <c r="B2227" t="s">
        <v>2247</v>
      </c>
      <c r="C2227" t="s">
        <v>1867</v>
      </c>
      <c r="D2227" t="str">
        <f t="shared" si="34"/>
        <v>tif</v>
      </c>
    </row>
    <row r="2228" spans="1:4" x14ac:dyDescent="0.25">
      <c r="A2228" t="s">
        <v>1857</v>
      </c>
      <c r="B2228" t="s">
        <v>2247</v>
      </c>
      <c r="C2228" t="s">
        <v>1868</v>
      </c>
      <c r="D2228" t="str">
        <f t="shared" si="34"/>
        <v>tif</v>
      </c>
    </row>
    <row r="2229" spans="1:4" x14ac:dyDescent="0.25">
      <c r="A2229" t="s">
        <v>1857</v>
      </c>
      <c r="B2229" t="s">
        <v>2247</v>
      </c>
      <c r="C2229" t="s">
        <v>1869</v>
      </c>
      <c r="D2229" t="str">
        <f t="shared" si="34"/>
        <v>tif</v>
      </c>
    </row>
    <row r="2230" spans="1:4" x14ac:dyDescent="0.25">
      <c r="A2230" t="s">
        <v>1857</v>
      </c>
      <c r="B2230" t="s">
        <v>2247</v>
      </c>
      <c r="C2230" t="s">
        <v>1870</v>
      </c>
      <c r="D2230" t="str">
        <f t="shared" si="34"/>
        <v>tif</v>
      </c>
    </row>
    <row r="2231" spans="1:4" x14ac:dyDescent="0.25">
      <c r="A2231" t="s">
        <v>1857</v>
      </c>
      <c r="B2231" t="s">
        <v>2247</v>
      </c>
      <c r="C2231" t="s">
        <v>1871</v>
      </c>
      <c r="D2231" t="str">
        <f t="shared" si="34"/>
        <v>tif</v>
      </c>
    </row>
    <row r="2232" spans="1:4" x14ac:dyDescent="0.25">
      <c r="A2232" t="s">
        <v>1857</v>
      </c>
      <c r="B2232" t="s">
        <v>2247</v>
      </c>
      <c r="C2232" t="s">
        <v>1872</v>
      </c>
      <c r="D2232" t="str">
        <f t="shared" si="34"/>
        <v>tif</v>
      </c>
    </row>
    <row r="2233" spans="1:4" x14ac:dyDescent="0.25">
      <c r="A2233" t="s">
        <v>1857</v>
      </c>
      <c r="B2233" t="s">
        <v>2247</v>
      </c>
      <c r="C2233" t="s">
        <v>1873</v>
      </c>
      <c r="D2233" t="str">
        <f t="shared" si="34"/>
        <v>tif</v>
      </c>
    </row>
    <row r="2234" spans="1:4" x14ac:dyDescent="0.25">
      <c r="A2234" t="s">
        <v>1857</v>
      </c>
      <c r="B2234" t="s">
        <v>2247</v>
      </c>
      <c r="C2234" t="s">
        <v>1874</v>
      </c>
      <c r="D2234" t="str">
        <f t="shared" si="34"/>
        <v>tif</v>
      </c>
    </row>
    <row r="2235" spans="1:4" x14ac:dyDescent="0.25">
      <c r="A2235" t="s">
        <v>1857</v>
      </c>
      <c r="B2235" t="s">
        <v>2247</v>
      </c>
      <c r="C2235" t="s">
        <v>1875</v>
      </c>
      <c r="D2235" t="str">
        <f t="shared" si="34"/>
        <v>tif</v>
      </c>
    </row>
    <row r="2236" spans="1:4" x14ac:dyDescent="0.25">
      <c r="A2236" t="s">
        <v>1857</v>
      </c>
      <c r="B2236" t="s">
        <v>2247</v>
      </c>
      <c r="C2236" t="s">
        <v>1876</v>
      </c>
      <c r="D2236" t="str">
        <f t="shared" si="34"/>
        <v>tif</v>
      </c>
    </row>
    <row r="2237" spans="1:4" x14ac:dyDescent="0.25">
      <c r="A2237" t="s">
        <v>1857</v>
      </c>
      <c r="B2237" t="s">
        <v>2247</v>
      </c>
      <c r="C2237" t="s">
        <v>1877</v>
      </c>
      <c r="D2237" t="str">
        <f t="shared" si="34"/>
        <v>tif</v>
      </c>
    </row>
    <row r="2238" spans="1:4" x14ac:dyDescent="0.25">
      <c r="A2238" t="s">
        <v>1857</v>
      </c>
      <c r="B2238" t="s">
        <v>2247</v>
      </c>
      <c r="C2238" t="s">
        <v>1878</v>
      </c>
      <c r="D2238" t="str">
        <f t="shared" si="34"/>
        <v>tif</v>
      </c>
    </row>
    <row r="2239" spans="1:4" x14ac:dyDescent="0.25">
      <c r="A2239" t="s">
        <v>1857</v>
      </c>
      <c r="B2239" t="s">
        <v>2247</v>
      </c>
      <c r="C2239" t="s">
        <v>1879</v>
      </c>
      <c r="D2239" t="str">
        <f t="shared" si="34"/>
        <v>pdf</v>
      </c>
    </row>
    <row r="2240" spans="1:4" x14ac:dyDescent="0.25">
      <c r="A2240" t="s">
        <v>1857</v>
      </c>
      <c r="B2240" t="s">
        <v>2247</v>
      </c>
      <c r="C2240" t="s">
        <v>1880</v>
      </c>
      <c r="D2240" t="str">
        <f t="shared" si="34"/>
        <v>pdf</v>
      </c>
    </row>
    <row r="2241" spans="1:4" x14ac:dyDescent="0.25">
      <c r="A2241" t="s">
        <v>1857</v>
      </c>
      <c r="B2241" t="s">
        <v>2247</v>
      </c>
      <c r="C2241" t="s">
        <v>1881</v>
      </c>
      <c r="D2241" t="str">
        <f t="shared" si="34"/>
        <v>pdf</v>
      </c>
    </row>
    <row r="2242" spans="1:4" x14ac:dyDescent="0.25">
      <c r="A2242" t="s">
        <v>1857</v>
      </c>
      <c r="B2242" t="s">
        <v>2247</v>
      </c>
      <c r="C2242" t="s">
        <v>1882</v>
      </c>
      <c r="D2242" t="str">
        <f t="shared" si="34"/>
        <v>pdf</v>
      </c>
    </row>
    <row r="2243" spans="1:4" x14ac:dyDescent="0.25">
      <c r="A2243" t="s">
        <v>1883</v>
      </c>
      <c r="B2243" t="s">
        <v>2248</v>
      </c>
      <c r="C2243" t="s">
        <v>1884</v>
      </c>
      <c r="D2243" t="str">
        <f t="shared" ref="D2243:D2306" si="35">IF(ISNUMBER(SEARCH(".pdf",C2243)),"pdf",IF(ISNUMBER(SEARCH(".tif",C2243)),"tif",IF(ISNUMBER(SEARCH(".las",C2243)),"las",IF(ISNUMBER(SEARCH(".sdg",C2243)),"sdg",IF(ISNUMBER(SEARCH(".xlsx",C2243)),"xlsx",IF(ISNUMBER(SEARCH(".docx",C2243)),"docx",IF(ISNUMBER(SEARCH(".rhistory",C2243)),"rhistory",IF(ISNUMBER(SEARCH(".db",C2243)),"db",IF(ISNUMBER(SEARCH(".jpg",C2243)),"jpg",IF(ISNUMBER(SEARCH(".png",C2243)),"png",IF(ISNUMBER(SEARCH(".mdb",C2243)),"mdb",IF(ISNUMBER(SEARCH(".xml",C2243)),"xml",IF(ISNUMBER(SEARCH(".xls",C2243)),"xls",IF(ISNUMBER(SEARCH(".txt",C2243)),"txt",IF(ISNUMBER(SEARCH(".tsf",C2243)),"tsf",IF(ISNUMBER(SEARCH(".sch",C2243)),"sch","ZIP oder R"))))))))))))))))</f>
        <v>tif</v>
      </c>
    </row>
    <row r="2244" spans="1:4" x14ac:dyDescent="0.25">
      <c r="A2244" t="s">
        <v>1883</v>
      </c>
      <c r="B2244" t="s">
        <v>2248</v>
      </c>
      <c r="C2244" t="s">
        <v>1885</v>
      </c>
      <c r="D2244" t="str">
        <f t="shared" si="35"/>
        <v>tif</v>
      </c>
    </row>
    <row r="2245" spans="1:4" x14ac:dyDescent="0.25">
      <c r="A2245" t="s">
        <v>1883</v>
      </c>
      <c r="B2245" t="s">
        <v>2248</v>
      </c>
      <c r="C2245" t="s">
        <v>1886</v>
      </c>
      <c r="D2245" t="str">
        <f t="shared" si="35"/>
        <v>tif</v>
      </c>
    </row>
    <row r="2246" spans="1:4" x14ac:dyDescent="0.25">
      <c r="A2246" t="s">
        <v>1883</v>
      </c>
      <c r="B2246" t="s">
        <v>2248</v>
      </c>
      <c r="C2246" t="s">
        <v>1887</v>
      </c>
      <c r="D2246" t="str">
        <f t="shared" si="35"/>
        <v>pdf</v>
      </c>
    </row>
    <row r="2247" spans="1:4" x14ac:dyDescent="0.25">
      <c r="A2247" t="s">
        <v>1883</v>
      </c>
      <c r="B2247" t="s">
        <v>2248</v>
      </c>
      <c r="C2247" t="s">
        <v>1888</v>
      </c>
      <c r="D2247" t="str">
        <f t="shared" si="35"/>
        <v>pdf</v>
      </c>
    </row>
    <row r="2248" spans="1:4" x14ac:dyDescent="0.25">
      <c r="A2248" t="s">
        <v>1883</v>
      </c>
      <c r="B2248" t="s">
        <v>2248</v>
      </c>
      <c r="C2248" t="s">
        <v>1889</v>
      </c>
      <c r="D2248" t="str">
        <f t="shared" si="35"/>
        <v>pdf</v>
      </c>
    </row>
    <row r="2249" spans="1:4" x14ac:dyDescent="0.25">
      <c r="A2249" t="s">
        <v>1890</v>
      </c>
      <c r="B2249" t="s">
        <v>2249</v>
      </c>
      <c r="C2249" t="s">
        <v>1891</v>
      </c>
      <c r="D2249" t="str">
        <f t="shared" si="35"/>
        <v>pdf</v>
      </c>
    </row>
    <row r="2250" spans="1:4" x14ac:dyDescent="0.25">
      <c r="A2250" t="s">
        <v>1890</v>
      </c>
      <c r="B2250" t="s">
        <v>2249</v>
      </c>
      <c r="C2250" t="s">
        <v>1892</v>
      </c>
      <c r="D2250" t="str">
        <f t="shared" si="35"/>
        <v>pdf</v>
      </c>
    </row>
    <row r="2251" spans="1:4" x14ac:dyDescent="0.25">
      <c r="A2251" t="s">
        <v>1890</v>
      </c>
      <c r="B2251" t="s">
        <v>2249</v>
      </c>
      <c r="C2251" t="s">
        <v>1893</v>
      </c>
      <c r="D2251" t="str">
        <f t="shared" si="35"/>
        <v>pdf</v>
      </c>
    </row>
    <row r="2252" spans="1:4" x14ac:dyDescent="0.25">
      <c r="A2252" t="s">
        <v>1890</v>
      </c>
      <c r="B2252" t="s">
        <v>2249</v>
      </c>
      <c r="C2252" t="s">
        <v>1894</v>
      </c>
      <c r="D2252" t="str">
        <f t="shared" si="35"/>
        <v>tif</v>
      </c>
    </row>
    <row r="2253" spans="1:4" x14ac:dyDescent="0.25">
      <c r="A2253" t="s">
        <v>1890</v>
      </c>
      <c r="B2253" t="s">
        <v>2249</v>
      </c>
      <c r="C2253" t="s">
        <v>1895</v>
      </c>
      <c r="D2253" t="str">
        <f t="shared" si="35"/>
        <v>tif</v>
      </c>
    </row>
    <row r="2254" spans="1:4" x14ac:dyDescent="0.25">
      <c r="A2254" t="s">
        <v>1890</v>
      </c>
      <c r="B2254" t="s">
        <v>2249</v>
      </c>
      <c r="C2254" t="s">
        <v>1896</v>
      </c>
      <c r="D2254" t="str">
        <f t="shared" si="35"/>
        <v>pdf</v>
      </c>
    </row>
    <row r="2255" spans="1:4" x14ac:dyDescent="0.25">
      <c r="A2255" t="s">
        <v>1897</v>
      </c>
      <c r="B2255" t="s">
        <v>2250</v>
      </c>
      <c r="C2255" t="s">
        <v>1898</v>
      </c>
      <c r="D2255" t="str">
        <f t="shared" si="35"/>
        <v>las</v>
      </c>
    </row>
    <row r="2256" spans="1:4" x14ac:dyDescent="0.25">
      <c r="A2256" t="s">
        <v>1897</v>
      </c>
      <c r="B2256" t="s">
        <v>2250</v>
      </c>
      <c r="C2256" t="s">
        <v>1899</v>
      </c>
      <c r="D2256" t="str">
        <f t="shared" si="35"/>
        <v>las</v>
      </c>
    </row>
    <row r="2257" spans="1:4" x14ac:dyDescent="0.25">
      <c r="A2257" t="s">
        <v>1897</v>
      </c>
      <c r="B2257" t="s">
        <v>2250</v>
      </c>
      <c r="C2257" t="s">
        <v>1900</v>
      </c>
      <c r="D2257" t="str">
        <f t="shared" si="35"/>
        <v>las</v>
      </c>
    </row>
    <row r="2258" spans="1:4" x14ac:dyDescent="0.25">
      <c r="A2258" t="s">
        <v>1897</v>
      </c>
      <c r="B2258" t="s">
        <v>2250</v>
      </c>
      <c r="C2258" t="s">
        <v>1901</v>
      </c>
      <c r="D2258" t="str">
        <f t="shared" si="35"/>
        <v>pdf</v>
      </c>
    </row>
    <row r="2259" spans="1:4" x14ac:dyDescent="0.25">
      <c r="A2259" t="s">
        <v>1897</v>
      </c>
      <c r="B2259" t="s">
        <v>2250</v>
      </c>
      <c r="C2259" t="s">
        <v>1902</v>
      </c>
      <c r="D2259" t="str">
        <f t="shared" si="35"/>
        <v>pdf</v>
      </c>
    </row>
    <row r="2260" spans="1:4" x14ac:dyDescent="0.25">
      <c r="A2260" t="s">
        <v>1897</v>
      </c>
      <c r="B2260" t="s">
        <v>2250</v>
      </c>
      <c r="C2260" t="s">
        <v>1903</v>
      </c>
      <c r="D2260" t="str">
        <f t="shared" si="35"/>
        <v>pdf</v>
      </c>
    </row>
    <row r="2261" spans="1:4" x14ac:dyDescent="0.25">
      <c r="A2261" t="s">
        <v>1897</v>
      </c>
      <c r="B2261" t="s">
        <v>2250</v>
      </c>
      <c r="C2261" t="s">
        <v>1904</v>
      </c>
      <c r="D2261" t="str">
        <f t="shared" si="35"/>
        <v>pdf</v>
      </c>
    </row>
    <row r="2262" spans="1:4" x14ac:dyDescent="0.25">
      <c r="A2262" t="s">
        <v>1897</v>
      </c>
      <c r="B2262" t="s">
        <v>2250</v>
      </c>
      <c r="C2262" t="s">
        <v>1905</v>
      </c>
      <c r="D2262" t="str">
        <f t="shared" si="35"/>
        <v>pdf</v>
      </c>
    </row>
    <row r="2263" spans="1:4" x14ac:dyDescent="0.25">
      <c r="A2263" t="s">
        <v>1897</v>
      </c>
      <c r="B2263" t="s">
        <v>2250</v>
      </c>
      <c r="C2263" t="s">
        <v>1906</v>
      </c>
      <c r="D2263" t="str">
        <f t="shared" si="35"/>
        <v>sdg</v>
      </c>
    </row>
    <row r="2264" spans="1:4" x14ac:dyDescent="0.25">
      <c r="A2264" t="s">
        <v>1897</v>
      </c>
      <c r="B2264" t="s">
        <v>2250</v>
      </c>
      <c r="C2264" t="s">
        <v>1907</v>
      </c>
      <c r="D2264" t="str">
        <f t="shared" si="35"/>
        <v>xlsx</v>
      </c>
    </row>
    <row r="2265" spans="1:4" x14ac:dyDescent="0.25">
      <c r="A2265" t="s">
        <v>1897</v>
      </c>
      <c r="B2265" t="s">
        <v>2250</v>
      </c>
      <c r="C2265" t="s">
        <v>1908</v>
      </c>
      <c r="D2265" t="str">
        <f t="shared" si="35"/>
        <v>pdf</v>
      </c>
    </row>
    <row r="2266" spans="1:4" x14ac:dyDescent="0.25">
      <c r="A2266" t="s">
        <v>1909</v>
      </c>
      <c r="B2266" t="s">
        <v>2251</v>
      </c>
      <c r="C2266" t="s">
        <v>1910</v>
      </c>
      <c r="D2266" t="str">
        <f t="shared" si="35"/>
        <v>pdf</v>
      </c>
    </row>
    <row r="2267" spans="1:4" x14ac:dyDescent="0.25">
      <c r="A2267" t="s">
        <v>1909</v>
      </c>
      <c r="B2267" t="s">
        <v>2251</v>
      </c>
      <c r="C2267" t="s">
        <v>1911</v>
      </c>
      <c r="D2267" t="str">
        <f t="shared" si="35"/>
        <v>pdf</v>
      </c>
    </row>
    <row r="2268" spans="1:4" x14ac:dyDescent="0.25">
      <c r="A2268" t="s">
        <v>1909</v>
      </c>
      <c r="B2268" t="s">
        <v>2251</v>
      </c>
      <c r="C2268" t="s">
        <v>1912</v>
      </c>
      <c r="D2268" t="str">
        <f t="shared" si="35"/>
        <v>pdf</v>
      </c>
    </row>
    <row r="2269" spans="1:4" x14ac:dyDescent="0.25">
      <c r="A2269" t="s">
        <v>1909</v>
      </c>
      <c r="B2269" t="s">
        <v>2251</v>
      </c>
      <c r="C2269" t="s">
        <v>1913</v>
      </c>
      <c r="D2269" t="str">
        <f t="shared" si="35"/>
        <v>pdf</v>
      </c>
    </row>
    <row r="2270" spans="1:4" x14ac:dyDescent="0.25">
      <c r="A2270" t="s">
        <v>1909</v>
      </c>
      <c r="B2270" t="s">
        <v>2251</v>
      </c>
      <c r="C2270" t="s">
        <v>1914</v>
      </c>
      <c r="D2270" t="str">
        <f t="shared" si="35"/>
        <v>pdf</v>
      </c>
    </row>
    <row r="2271" spans="1:4" x14ac:dyDescent="0.25">
      <c r="A2271" t="s">
        <v>1909</v>
      </c>
      <c r="B2271" t="s">
        <v>2251</v>
      </c>
      <c r="C2271" t="s">
        <v>1915</v>
      </c>
      <c r="D2271" t="str">
        <f t="shared" si="35"/>
        <v>pdf</v>
      </c>
    </row>
    <row r="2272" spans="1:4" x14ac:dyDescent="0.25">
      <c r="A2272" t="s">
        <v>1909</v>
      </c>
      <c r="B2272" t="s">
        <v>2251</v>
      </c>
      <c r="C2272" t="s">
        <v>1916</v>
      </c>
      <c r="D2272" t="str">
        <f t="shared" si="35"/>
        <v>pdf</v>
      </c>
    </row>
    <row r="2273" spans="1:4" x14ac:dyDescent="0.25">
      <c r="A2273" t="s">
        <v>1909</v>
      </c>
      <c r="B2273" t="s">
        <v>2251</v>
      </c>
      <c r="C2273" t="s">
        <v>1917</v>
      </c>
      <c r="D2273" t="str">
        <f t="shared" si="35"/>
        <v>pdf</v>
      </c>
    </row>
    <row r="2274" spans="1:4" x14ac:dyDescent="0.25">
      <c r="A2274" t="s">
        <v>1909</v>
      </c>
      <c r="B2274" t="s">
        <v>2251</v>
      </c>
      <c r="C2274" t="s">
        <v>1918</v>
      </c>
      <c r="D2274" t="str">
        <f t="shared" si="35"/>
        <v>pdf</v>
      </c>
    </row>
    <row r="2275" spans="1:4" x14ac:dyDescent="0.25">
      <c r="A2275" t="s">
        <v>1909</v>
      </c>
      <c r="B2275" t="s">
        <v>2251</v>
      </c>
      <c r="C2275" t="s">
        <v>1919</v>
      </c>
      <c r="D2275" t="str">
        <f t="shared" si="35"/>
        <v>pdf</v>
      </c>
    </row>
    <row r="2276" spans="1:4" x14ac:dyDescent="0.25">
      <c r="A2276" t="s">
        <v>1909</v>
      </c>
      <c r="B2276" t="s">
        <v>2251</v>
      </c>
      <c r="C2276" t="s">
        <v>1920</v>
      </c>
      <c r="D2276" t="str">
        <f t="shared" si="35"/>
        <v>pdf</v>
      </c>
    </row>
    <row r="2277" spans="1:4" x14ac:dyDescent="0.25">
      <c r="A2277" t="s">
        <v>1909</v>
      </c>
      <c r="B2277" t="s">
        <v>2251</v>
      </c>
      <c r="C2277" t="s">
        <v>1921</v>
      </c>
      <c r="D2277" t="str">
        <f t="shared" si="35"/>
        <v>pdf</v>
      </c>
    </row>
    <row r="2278" spans="1:4" x14ac:dyDescent="0.25">
      <c r="A2278" t="s">
        <v>1909</v>
      </c>
      <c r="B2278" t="s">
        <v>2251</v>
      </c>
      <c r="C2278" t="s">
        <v>1922</v>
      </c>
      <c r="D2278" t="str">
        <f t="shared" si="35"/>
        <v>pdf</v>
      </c>
    </row>
    <row r="2279" spans="1:4" x14ac:dyDescent="0.25">
      <c r="A2279" t="s">
        <v>1909</v>
      </c>
      <c r="B2279" t="s">
        <v>2251</v>
      </c>
      <c r="C2279" t="s">
        <v>1923</v>
      </c>
      <c r="D2279" t="str">
        <f t="shared" si="35"/>
        <v>pdf</v>
      </c>
    </row>
    <row r="2280" spans="1:4" x14ac:dyDescent="0.25">
      <c r="A2280" t="s">
        <v>1909</v>
      </c>
      <c r="B2280" t="s">
        <v>2251</v>
      </c>
      <c r="C2280" t="s">
        <v>1924</v>
      </c>
      <c r="D2280" t="str">
        <f t="shared" si="35"/>
        <v>pdf</v>
      </c>
    </row>
    <row r="2281" spans="1:4" x14ac:dyDescent="0.25">
      <c r="A2281" t="s">
        <v>1909</v>
      </c>
      <c r="B2281" t="s">
        <v>2251</v>
      </c>
      <c r="C2281" t="s">
        <v>1925</v>
      </c>
      <c r="D2281" t="str">
        <f t="shared" si="35"/>
        <v>pdf</v>
      </c>
    </row>
    <row r="2282" spans="1:4" x14ac:dyDescent="0.25">
      <c r="A2282" t="s">
        <v>1909</v>
      </c>
      <c r="B2282" t="s">
        <v>2251</v>
      </c>
      <c r="C2282" t="s">
        <v>1926</v>
      </c>
      <c r="D2282" t="str">
        <f t="shared" si="35"/>
        <v>pdf</v>
      </c>
    </row>
    <row r="2283" spans="1:4" x14ac:dyDescent="0.25">
      <c r="A2283" t="s">
        <v>1909</v>
      </c>
      <c r="B2283" t="s">
        <v>2251</v>
      </c>
      <c r="C2283" t="s">
        <v>1927</v>
      </c>
      <c r="D2283" t="str">
        <f t="shared" si="35"/>
        <v>pdf</v>
      </c>
    </row>
    <row r="2284" spans="1:4" x14ac:dyDescent="0.25">
      <c r="A2284" t="s">
        <v>1909</v>
      </c>
      <c r="B2284" t="s">
        <v>2251</v>
      </c>
      <c r="C2284" t="s">
        <v>1928</v>
      </c>
      <c r="D2284" t="str">
        <f t="shared" si="35"/>
        <v>pdf</v>
      </c>
    </row>
    <row r="2285" spans="1:4" x14ac:dyDescent="0.25">
      <c r="A2285" t="s">
        <v>1909</v>
      </c>
      <c r="B2285" t="s">
        <v>2251</v>
      </c>
      <c r="C2285" t="s">
        <v>1929</v>
      </c>
      <c r="D2285" t="str">
        <f t="shared" si="35"/>
        <v>pdf</v>
      </c>
    </row>
    <row r="2286" spans="1:4" x14ac:dyDescent="0.25">
      <c r="A2286" t="s">
        <v>1909</v>
      </c>
      <c r="B2286" t="s">
        <v>2251</v>
      </c>
      <c r="C2286" t="s">
        <v>1930</v>
      </c>
      <c r="D2286" t="str">
        <f t="shared" si="35"/>
        <v>pdf</v>
      </c>
    </row>
    <row r="2287" spans="1:4" x14ac:dyDescent="0.25">
      <c r="A2287" t="s">
        <v>1931</v>
      </c>
      <c r="B2287" t="s">
        <v>2252</v>
      </c>
      <c r="C2287" t="s">
        <v>1932</v>
      </c>
      <c r="D2287" t="str">
        <f t="shared" si="35"/>
        <v>pdf</v>
      </c>
    </row>
    <row r="2288" spans="1:4" x14ac:dyDescent="0.25">
      <c r="A2288" t="s">
        <v>1931</v>
      </c>
      <c r="B2288" t="s">
        <v>2252</v>
      </c>
      <c r="C2288" t="s">
        <v>1933</v>
      </c>
      <c r="D2288" t="str">
        <f t="shared" si="35"/>
        <v>pdf</v>
      </c>
    </row>
    <row r="2289" spans="1:4" x14ac:dyDescent="0.25">
      <c r="A2289" t="s">
        <v>1931</v>
      </c>
      <c r="B2289" t="s">
        <v>2252</v>
      </c>
      <c r="C2289" t="s">
        <v>1934</v>
      </c>
      <c r="D2289" t="str">
        <f t="shared" si="35"/>
        <v>tif</v>
      </c>
    </row>
    <row r="2290" spans="1:4" x14ac:dyDescent="0.25">
      <c r="A2290" t="s">
        <v>1931</v>
      </c>
      <c r="B2290" t="s">
        <v>2252</v>
      </c>
      <c r="C2290" t="s">
        <v>1935</v>
      </c>
      <c r="D2290" t="str">
        <f t="shared" si="35"/>
        <v>tif</v>
      </c>
    </row>
    <row r="2291" spans="1:4" x14ac:dyDescent="0.25">
      <c r="A2291" t="s">
        <v>1931</v>
      </c>
      <c r="B2291" t="s">
        <v>2252</v>
      </c>
      <c r="C2291" t="s">
        <v>1936</v>
      </c>
      <c r="D2291" t="str">
        <f t="shared" si="35"/>
        <v>pdf</v>
      </c>
    </row>
    <row r="2292" spans="1:4" x14ac:dyDescent="0.25">
      <c r="A2292" t="s">
        <v>1931</v>
      </c>
      <c r="B2292" t="s">
        <v>2252</v>
      </c>
      <c r="C2292" t="s">
        <v>1937</v>
      </c>
      <c r="D2292" t="str">
        <f t="shared" si="35"/>
        <v>pdf</v>
      </c>
    </row>
    <row r="2293" spans="1:4" x14ac:dyDescent="0.25">
      <c r="A2293" t="s">
        <v>1938</v>
      </c>
      <c r="B2293" t="s">
        <v>2253</v>
      </c>
      <c r="C2293" t="s">
        <v>1040</v>
      </c>
      <c r="D2293" t="str">
        <f t="shared" si="35"/>
        <v>pdf</v>
      </c>
    </row>
    <row r="2294" spans="1:4" x14ac:dyDescent="0.25">
      <c r="A2294" t="s">
        <v>1938</v>
      </c>
      <c r="B2294" t="s">
        <v>2253</v>
      </c>
      <c r="C2294" t="s">
        <v>1041</v>
      </c>
      <c r="D2294" t="str">
        <f t="shared" si="35"/>
        <v>pdf</v>
      </c>
    </row>
    <row r="2295" spans="1:4" x14ac:dyDescent="0.25">
      <c r="A2295" t="s">
        <v>1938</v>
      </c>
      <c r="B2295" t="s">
        <v>2253</v>
      </c>
      <c r="C2295" t="s">
        <v>1939</v>
      </c>
      <c r="D2295" t="str">
        <f t="shared" si="35"/>
        <v>tif</v>
      </c>
    </row>
    <row r="2296" spans="1:4" x14ac:dyDescent="0.25">
      <c r="A2296" t="s">
        <v>1938</v>
      </c>
      <c r="B2296" t="s">
        <v>2253</v>
      </c>
      <c r="C2296" t="s">
        <v>1940</v>
      </c>
      <c r="D2296" t="str">
        <f t="shared" si="35"/>
        <v>tif</v>
      </c>
    </row>
    <row r="2297" spans="1:4" x14ac:dyDescent="0.25">
      <c r="A2297" t="s">
        <v>1938</v>
      </c>
      <c r="B2297" t="s">
        <v>2253</v>
      </c>
      <c r="C2297" t="s">
        <v>1941</v>
      </c>
      <c r="D2297" t="str">
        <f t="shared" si="35"/>
        <v>tif</v>
      </c>
    </row>
    <row r="2298" spans="1:4" x14ac:dyDescent="0.25">
      <c r="A2298" t="s">
        <v>1938</v>
      </c>
      <c r="B2298" t="s">
        <v>2253</v>
      </c>
      <c r="C2298" t="s">
        <v>1942</v>
      </c>
      <c r="D2298" t="str">
        <f t="shared" si="35"/>
        <v>tif</v>
      </c>
    </row>
    <row r="2299" spans="1:4" x14ac:dyDescent="0.25">
      <c r="A2299" t="s">
        <v>1938</v>
      </c>
      <c r="B2299" t="s">
        <v>2253</v>
      </c>
      <c r="C2299" t="s">
        <v>1943</v>
      </c>
      <c r="D2299" t="str">
        <f t="shared" si="35"/>
        <v>tif</v>
      </c>
    </row>
    <row r="2300" spans="1:4" x14ac:dyDescent="0.25">
      <c r="A2300" t="s">
        <v>1938</v>
      </c>
      <c r="B2300" t="s">
        <v>2253</v>
      </c>
      <c r="C2300" t="s">
        <v>1042</v>
      </c>
      <c r="D2300" t="str">
        <f t="shared" si="35"/>
        <v>pdf</v>
      </c>
    </row>
    <row r="2301" spans="1:4" x14ac:dyDescent="0.25">
      <c r="A2301" t="s">
        <v>1938</v>
      </c>
      <c r="B2301" t="s">
        <v>2253</v>
      </c>
      <c r="C2301" t="s">
        <v>1944</v>
      </c>
      <c r="D2301" t="str">
        <f t="shared" si="35"/>
        <v>pdf</v>
      </c>
    </row>
    <row r="2302" spans="1:4" x14ac:dyDescent="0.25">
      <c r="A2302" t="s">
        <v>1938</v>
      </c>
      <c r="B2302" t="s">
        <v>2253</v>
      </c>
      <c r="C2302" t="s">
        <v>1945</v>
      </c>
      <c r="D2302" t="str">
        <f t="shared" si="35"/>
        <v>pdf</v>
      </c>
    </row>
    <row r="2303" spans="1:4" x14ac:dyDescent="0.25">
      <c r="A2303" t="s">
        <v>1938</v>
      </c>
      <c r="B2303" t="s">
        <v>2253</v>
      </c>
      <c r="C2303" t="s">
        <v>1946</v>
      </c>
      <c r="D2303" t="str">
        <f t="shared" si="35"/>
        <v>ZIP oder R</v>
      </c>
    </row>
    <row r="2304" spans="1:4" x14ac:dyDescent="0.25">
      <c r="A2304" t="s">
        <v>1938</v>
      </c>
      <c r="B2304" t="s">
        <v>2253</v>
      </c>
      <c r="C2304" t="s">
        <v>1947</v>
      </c>
      <c r="D2304" t="str">
        <f t="shared" si="35"/>
        <v>sdg</v>
      </c>
    </row>
    <row r="2305" spans="1:4" x14ac:dyDescent="0.25">
      <c r="A2305" t="s">
        <v>1938</v>
      </c>
      <c r="B2305" t="s">
        <v>2253</v>
      </c>
      <c r="C2305" t="s">
        <v>1948</v>
      </c>
      <c r="D2305" t="str">
        <f t="shared" si="35"/>
        <v>xlsx</v>
      </c>
    </row>
    <row r="2306" spans="1:4" x14ac:dyDescent="0.25">
      <c r="A2306" t="s">
        <v>1938</v>
      </c>
      <c r="B2306" t="s">
        <v>2253</v>
      </c>
      <c r="C2306" t="s">
        <v>1949</v>
      </c>
      <c r="D2306" t="str">
        <f t="shared" si="35"/>
        <v>pdf</v>
      </c>
    </row>
    <row r="2307" spans="1:4" x14ac:dyDescent="0.25">
      <c r="A2307" t="s">
        <v>1950</v>
      </c>
      <c r="B2307" t="s">
        <v>2253</v>
      </c>
      <c r="C2307" t="s">
        <v>1044</v>
      </c>
      <c r="D2307" t="str">
        <f t="shared" ref="D2307:D2370" si="36">IF(ISNUMBER(SEARCH(".pdf",C2307)),"pdf",IF(ISNUMBER(SEARCH(".tif",C2307)),"tif",IF(ISNUMBER(SEARCH(".las",C2307)),"las",IF(ISNUMBER(SEARCH(".sdg",C2307)),"sdg",IF(ISNUMBER(SEARCH(".xlsx",C2307)),"xlsx",IF(ISNUMBER(SEARCH(".docx",C2307)),"docx",IF(ISNUMBER(SEARCH(".rhistory",C2307)),"rhistory",IF(ISNUMBER(SEARCH(".db",C2307)),"db",IF(ISNUMBER(SEARCH(".jpg",C2307)),"jpg",IF(ISNUMBER(SEARCH(".png",C2307)),"png",IF(ISNUMBER(SEARCH(".mdb",C2307)),"mdb",IF(ISNUMBER(SEARCH(".xml",C2307)),"xml",IF(ISNUMBER(SEARCH(".xls",C2307)),"xls",IF(ISNUMBER(SEARCH(".txt",C2307)),"txt",IF(ISNUMBER(SEARCH(".tsf",C2307)),"tsf",IF(ISNUMBER(SEARCH(".sch",C2307)),"sch","ZIP oder R"))))))))))))))))</f>
        <v>las</v>
      </c>
    </row>
    <row r="2308" spans="1:4" x14ac:dyDescent="0.25">
      <c r="A2308" t="s">
        <v>1950</v>
      </c>
      <c r="B2308" t="s">
        <v>2253</v>
      </c>
      <c r="C2308" t="s">
        <v>1045</v>
      </c>
      <c r="D2308" t="str">
        <f t="shared" si="36"/>
        <v>las</v>
      </c>
    </row>
    <row r="2309" spans="1:4" x14ac:dyDescent="0.25">
      <c r="A2309" t="s">
        <v>1950</v>
      </c>
      <c r="B2309" t="s">
        <v>2253</v>
      </c>
      <c r="C2309" t="s">
        <v>1046</v>
      </c>
      <c r="D2309" t="str">
        <f t="shared" si="36"/>
        <v>tif</v>
      </c>
    </row>
    <row r="2310" spans="1:4" x14ac:dyDescent="0.25">
      <c r="A2310" t="s">
        <v>1950</v>
      </c>
      <c r="B2310" t="s">
        <v>2253</v>
      </c>
      <c r="C2310" t="s">
        <v>1047</v>
      </c>
      <c r="D2310" t="str">
        <f t="shared" si="36"/>
        <v>tif</v>
      </c>
    </row>
    <row r="2311" spans="1:4" x14ac:dyDescent="0.25">
      <c r="A2311" t="s">
        <v>1950</v>
      </c>
      <c r="B2311" t="s">
        <v>2253</v>
      </c>
      <c r="C2311" t="s">
        <v>1048</v>
      </c>
      <c r="D2311" t="str">
        <f t="shared" si="36"/>
        <v>docx</v>
      </c>
    </row>
    <row r="2312" spans="1:4" x14ac:dyDescent="0.25">
      <c r="A2312" t="s">
        <v>1950</v>
      </c>
      <c r="B2312" t="s">
        <v>2253</v>
      </c>
      <c r="C2312" t="s">
        <v>1049</v>
      </c>
      <c r="D2312" t="str">
        <f t="shared" si="36"/>
        <v>docx</v>
      </c>
    </row>
    <row r="2313" spans="1:4" x14ac:dyDescent="0.25">
      <c r="A2313" t="s">
        <v>1951</v>
      </c>
      <c r="B2313" t="s">
        <v>2253</v>
      </c>
      <c r="C2313" t="s">
        <v>1051</v>
      </c>
      <c r="D2313" t="str">
        <f t="shared" si="36"/>
        <v>las</v>
      </c>
    </row>
    <row r="2314" spans="1:4" x14ac:dyDescent="0.25">
      <c r="A2314" t="s">
        <v>1951</v>
      </c>
      <c r="B2314" t="s">
        <v>2253</v>
      </c>
      <c r="C2314" t="s">
        <v>1052</v>
      </c>
      <c r="D2314" t="str">
        <f t="shared" si="36"/>
        <v>las</v>
      </c>
    </row>
    <row r="2315" spans="1:4" x14ac:dyDescent="0.25">
      <c r="A2315" t="s">
        <v>1951</v>
      </c>
      <c r="B2315" t="s">
        <v>2253</v>
      </c>
      <c r="C2315" t="s">
        <v>1053</v>
      </c>
      <c r="D2315" t="str">
        <f t="shared" si="36"/>
        <v>las</v>
      </c>
    </row>
    <row r="2316" spans="1:4" x14ac:dyDescent="0.25">
      <c r="A2316" t="s">
        <v>1952</v>
      </c>
      <c r="B2316" t="s">
        <v>2253</v>
      </c>
      <c r="C2316" t="s">
        <v>1953</v>
      </c>
      <c r="D2316" t="str">
        <f t="shared" si="36"/>
        <v>png</v>
      </c>
    </row>
    <row r="2317" spans="1:4" x14ac:dyDescent="0.25">
      <c r="A2317" t="s">
        <v>1952</v>
      </c>
      <c r="B2317" t="s">
        <v>2253</v>
      </c>
      <c r="C2317" t="s">
        <v>1954</v>
      </c>
      <c r="D2317" t="str">
        <f t="shared" si="36"/>
        <v>png</v>
      </c>
    </row>
    <row r="2318" spans="1:4" x14ac:dyDescent="0.25">
      <c r="A2318" t="s">
        <v>1952</v>
      </c>
      <c r="B2318" t="s">
        <v>2253</v>
      </c>
      <c r="C2318" t="s">
        <v>1955</v>
      </c>
      <c r="D2318" t="str">
        <f t="shared" si="36"/>
        <v>png</v>
      </c>
    </row>
    <row r="2319" spans="1:4" x14ac:dyDescent="0.25">
      <c r="A2319" t="s">
        <v>1952</v>
      </c>
      <c r="B2319" t="s">
        <v>2253</v>
      </c>
      <c r="C2319" t="s">
        <v>1956</v>
      </c>
      <c r="D2319" t="str">
        <f t="shared" si="36"/>
        <v>png</v>
      </c>
    </row>
    <row r="2320" spans="1:4" x14ac:dyDescent="0.25">
      <c r="A2320" t="s">
        <v>1952</v>
      </c>
      <c r="B2320" t="s">
        <v>2253</v>
      </c>
      <c r="C2320" t="s">
        <v>1957</v>
      </c>
      <c r="D2320" t="str">
        <f t="shared" si="36"/>
        <v>png</v>
      </c>
    </row>
    <row r="2321" spans="1:4" x14ac:dyDescent="0.25">
      <c r="A2321" t="s">
        <v>1952</v>
      </c>
      <c r="B2321" t="s">
        <v>2253</v>
      </c>
      <c r="C2321" t="s">
        <v>1958</v>
      </c>
      <c r="D2321" t="str">
        <f t="shared" si="36"/>
        <v>png</v>
      </c>
    </row>
    <row r="2322" spans="1:4" x14ac:dyDescent="0.25">
      <c r="A2322" t="s">
        <v>1952</v>
      </c>
      <c r="B2322" t="s">
        <v>2253</v>
      </c>
      <c r="C2322" t="s">
        <v>1959</v>
      </c>
      <c r="D2322" t="str">
        <f t="shared" si="36"/>
        <v>png</v>
      </c>
    </row>
    <row r="2323" spans="1:4" x14ac:dyDescent="0.25">
      <c r="A2323" t="s">
        <v>1952</v>
      </c>
      <c r="B2323" t="s">
        <v>2253</v>
      </c>
      <c r="C2323" t="s">
        <v>1960</v>
      </c>
      <c r="D2323" t="str">
        <f t="shared" si="36"/>
        <v>png</v>
      </c>
    </row>
    <row r="2324" spans="1:4" x14ac:dyDescent="0.25">
      <c r="A2324" t="s">
        <v>1952</v>
      </c>
      <c r="B2324" t="s">
        <v>2253</v>
      </c>
      <c r="C2324" t="s">
        <v>1961</v>
      </c>
      <c r="D2324" t="str">
        <f t="shared" si="36"/>
        <v>png</v>
      </c>
    </row>
    <row r="2325" spans="1:4" x14ac:dyDescent="0.25">
      <c r="A2325" t="s">
        <v>1962</v>
      </c>
      <c r="B2325" t="s">
        <v>2254</v>
      </c>
      <c r="C2325" t="s">
        <v>1963</v>
      </c>
      <c r="D2325" t="str">
        <f t="shared" si="36"/>
        <v>las</v>
      </c>
    </row>
    <row r="2326" spans="1:4" x14ac:dyDescent="0.25">
      <c r="A2326" t="s">
        <v>1962</v>
      </c>
      <c r="B2326" t="s">
        <v>2254</v>
      </c>
      <c r="C2326" t="s">
        <v>1964</v>
      </c>
      <c r="D2326" t="str">
        <f t="shared" si="36"/>
        <v>sdg</v>
      </c>
    </row>
    <row r="2327" spans="1:4" x14ac:dyDescent="0.25">
      <c r="A2327" t="s">
        <v>1962</v>
      </c>
      <c r="B2327" t="s">
        <v>2254</v>
      </c>
      <c r="C2327" t="s">
        <v>1965</v>
      </c>
      <c r="D2327" t="str">
        <f t="shared" si="36"/>
        <v>xlsx</v>
      </c>
    </row>
    <row r="2328" spans="1:4" x14ac:dyDescent="0.25">
      <c r="A2328" t="s">
        <v>1966</v>
      </c>
      <c r="B2328" t="s">
        <v>2255</v>
      </c>
      <c r="C2328" t="s">
        <v>1967</v>
      </c>
      <c r="D2328" t="str">
        <f t="shared" si="36"/>
        <v>pdf</v>
      </c>
    </row>
    <row r="2329" spans="1:4" x14ac:dyDescent="0.25">
      <c r="A2329" t="s">
        <v>1966</v>
      </c>
      <c r="B2329" t="s">
        <v>2255</v>
      </c>
      <c r="C2329" t="s">
        <v>1968</v>
      </c>
      <c r="D2329" t="str">
        <f t="shared" si="36"/>
        <v>pdf</v>
      </c>
    </row>
    <row r="2330" spans="1:4" x14ac:dyDescent="0.25">
      <c r="A2330" t="s">
        <v>1966</v>
      </c>
      <c r="B2330" t="s">
        <v>2255</v>
      </c>
      <c r="C2330" t="s">
        <v>1969</v>
      </c>
      <c r="D2330" t="str">
        <f t="shared" si="36"/>
        <v>pdf</v>
      </c>
    </row>
    <row r="2331" spans="1:4" x14ac:dyDescent="0.25">
      <c r="A2331" t="s">
        <v>1966</v>
      </c>
      <c r="B2331" t="s">
        <v>2255</v>
      </c>
      <c r="C2331" t="s">
        <v>1970</v>
      </c>
      <c r="D2331" t="str">
        <f t="shared" si="36"/>
        <v>pdf</v>
      </c>
    </row>
    <row r="2332" spans="1:4" x14ac:dyDescent="0.25">
      <c r="A2332" t="s">
        <v>1971</v>
      </c>
      <c r="B2332" t="s">
        <v>2255</v>
      </c>
      <c r="C2332" t="s">
        <v>1972</v>
      </c>
      <c r="D2332" t="str">
        <f t="shared" si="36"/>
        <v>jpg</v>
      </c>
    </row>
    <row r="2333" spans="1:4" x14ac:dyDescent="0.25">
      <c r="A2333" t="s">
        <v>1971</v>
      </c>
      <c r="B2333" t="s">
        <v>2255</v>
      </c>
      <c r="C2333" t="s">
        <v>1973</v>
      </c>
      <c r="D2333" t="str">
        <f t="shared" si="36"/>
        <v>xlsx</v>
      </c>
    </row>
    <row r="2334" spans="1:4" x14ac:dyDescent="0.25">
      <c r="A2334" t="s">
        <v>1974</v>
      </c>
      <c r="B2334" t="s">
        <v>2256</v>
      </c>
      <c r="C2334" t="s">
        <v>1975</v>
      </c>
      <c r="D2334" t="str">
        <f t="shared" si="36"/>
        <v>pdf</v>
      </c>
    </row>
    <row r="2335" spans="1:4" x14ac:dyDescent="0.25">
      <c r="A2335" t="s">
        <v>1974</v>
      </c>
      <c r="B2335" t="s">
        <v>2256</v>
      </c>
      <c r="C2335" t="s">
        <v>1976</v>
      </c>
      <c r="D2335" t="str">
        <f t="shared" si="36"/>
        <v>pdf</v>
      </c>
    </row>
    <row r="2336" spans="1:4" x14ac:dyDescent="0.25">
      <c r="A2336" t="s">
        <v>1974</v>
      </c>
      <c r="B2336" t="s">
        <v>2256</v>
      </c>
      <c r="C2336" t="s">
        <v>1977</v>
      </c>
      <c r="D2336" t="str">
        <f t="shared" si="36"/>
        <v>pdf</v>
      </c>
    </row>
    <row r="2337" spans="1:4" x14ac:dyDescent="0.25">
      <c r="A2337" t="s">
        <v>1974</v>
      </c>
      <c r="B2337" t="s">
        <v>2256</v>
      </c>
      <c r="C2337" t="s">
        <v>1978</v>
      </c>
      <c r="D2337" t="str">
        <f t="shared" si="36"/>
        <v>jpg</v>
      </c>
    </row>
    <row r="2338" spans="1:4" x14ac:dyDescent="0.25">
      <c r="A2338" t="s">
        <v>1974</v>
      </c>
      <c r="B2338" t="s">
        <v>2256</v>
      </c>
      <c r="C2338" t="s">
        <v>1979</v>
      </c>
      <c r="D2338" t="str">
        <f t="shared" si="36"/>
        <v>jpg</v>
      </c>
    </row>
    <row r="2339" spans="1:4" x14ac:dyDescent="0.25">
      <c r="A2339" t="s">
        <v>1974</v>
      </c>
      <c r="B2339" t="s">
        <v>2256</v>
      </c>
      <c r="C2339" t="s">
        <v>1980</v>
      </c>
      <c r="D2339" t="str">
        <f t="shared" si="36"/>
        <v>jpg</v>
      </c>
    </row>
    <row r="2340" spans="1:4" x14ac:dyDescent="0.25">
      <c r="A2340" t="s">
        <v>1974</v>
      </c>
      <c r="B2340" t="s">
        <v>2256</v>
      </c>
      <c r="C2340" t="s">
        <v>1981</v>
      </c>
      <c r="D2340" t="str">
        <f t="shared" si="36"/>
        <v>jpg</v>
      </c>
    </row>
    <row r="2341" spans="1:4" x14ac:dyDescent="0.25">
      <c r="A2341" t="s">
        <v>1974</v>
      </c>
      <c r="B2341" t="s">
        <v>2256</v>
      </c>
      <c r="C2341" t="s">
        <v>1982</v>
      </c>
      <c r="D2341" t="str">
        <f t="shared" si="36"/>
        <v>jpg</v>
      </c>
    </row>
    <row r="2342" spans="1:4" x14ac:dyDescent="0.25">
      <c r="A2342" t="s">
        <v>1974</v>
      </c>
      <c r="B2342" t="s">
        <v>2256</v>
      </c>
      <c r="C2342" t="s">
        <v>1983</v>
      </c>
      <c r="D2342" t="str">
        <f t="shared" si="36"/>
        <v>jpg</v>
      </c>
    </row>
    <row r="2343" spans="1:4" x14ac:dyDescent="0.25">
      <c r="A2343" t="s">
        <v>1974</v>
      </c>
      <c r="B2343" t="s">
        <v>2256</v>
      </c>
      <c r="C2343" t="s">
        <v>1984</v>
      </c>
      <c r="D2343" t="str">
        <f t="shared" si="36"/>
        <v>jpg</v>
      </c>
    </row>
    <row r="2344" spans="1:4" x14ac:dyDescent="0.25">
      <c r="A2344" t="s">
        <v>1974</v>
      </c>
      <c r="B2344" t="s">
        <v>2256</v>
      </c>
      <c r="C2344" t="s">
        <v>1985</v>
      </c>
      <c r="D2344" t="str">
        <f t="shared" si="36"/>
        <v>pdf</v>
      </c>
    </row>
    <row r="2345" spans="1:4" x14ac:dyDescent="0.25">
      <c r="A2345" t="s">
        <v>1986</v>
      </c>
      <c r="B2345" t="s">
        <v>2272</v>
      </c>
      <c r="C2345" t="s">
        <v>1510</v>
      </c>
      <c r="D2345" t="str">
        <f t="shared" si="36"/>
        <v>ZIP oder R</v>
      </c>
    </row>
    <row r="2346" spans="1:4" x14ac:dyDescent="0.25">
      <c r="A2346" t="s">
        <v>1986</v>
      </c>
      <c r="B2346" t="s">
        <v>2272</v>
      </c>
      <c r="C2346" t="s">
        <v>38</v>
      </c>
      <c r="D2346" t="str">
        <f t="shared" si="36"/>
        <v>rhistory</v>
      </c>
    </row>
    <row r="2347" spans="1:4" x14ac:dyDescent="0.25">
      <c r="A2347" t="s">
        <v>1986</v>
      </c>
      <c r="B2347" t="s">
        <v>2272</v>
      </c>
      <c r="C2347" t="s">
        <v>1067</v>
      </c>
      <c r="D2347" t="str">
        <f t="shared" si="36"/>
        <v>las</v>
      </c>
    </row>
    <row r="2348" spans="1:4" x14ac:dyDescent="0.25">
      <c r="A2348" t="s">
        <v>1986</v>
      </c>
      <c r="B2348" t="s">
        <v>2272</v>
      </c>
      <c r="C2348" t="s">
        <v>1068</v>
      </c>
      <c r="D2348" t="str">
        <f t="shared" si="36"/>
        <v>las</v>
      </c>
    </row>
    <row r="2349" spans="1:4" x14ac:dyDescent="0.25">
      <c r="A2349" t="s">
        <v>1986</v>
      </c>
      <c r="B2349" t="s">
        <v>2272</v>
      </c>
      <c r="C2349" t="s">
        <v>1069</v>
      </c>
      <c r="D2349" t="str">
        <f t="shared" si="36"/>
        <v>ZIP oder R</v>
      </c>
    </row>
    <row r="2350" spans="1:4" x14ac:dyDescent="0.25">
      <c r="A2350" t="s">
        <v>1986</v>
      </c>
      <c r="B2350" t="s">
        <v>2272</v>
      </c>
      <c r="C2350" t="s">
        <v>1071</v>
      </c>
      <c r="D2350" t="str">
        <f t="shared" si="36"/>
        <v>jpg</v>
      </c>
    </row>
    <row r="2351" spans="1:4" x14ac:dyDescent="0.25">
      <c r="A2351" t="s">
        <v>1986</v>
      </c>
      <c r="B2351" t="s">
        <v>2272</v>
      </c>
      <c r="C2351" t="s">
        <v>1072</v>
      </c>
      <c r="D2351" t="str">
        <f t="shared" si="36"/>
        <v>jpg</v>
      </c>
    </row>
    <row r="2352" spans="1:4" x14ac:dyDescent="0.25">
      <c r="A2352" t="s">
        <v>1986</v>
      </c>
      <c r="B2352" t="s">
        <v>2272</v>
      </c>
      <c r="C2352" t="s">
        <v>1073</v>
      </c>
      <c r="D2352" t="str">
        <f t="shared" si="36"/>
        <v>jpg</v>
      </c>
    </row>
    <row r="2353" spans="1:4" x14ac:dyDescent="0.25">
      <c r="A2353" t="s">
        <v>1986</v>
      </c>
      <c r="B2353" t="s">
        <v>2272</v>
      </c>
      <c r="C2353" t="s">
        <v>1074</v>
      </c>
      <c r="D2353" t="str">
        <f t="shared" si="36"/>
        <v>jpg</v>
      </c>
    </row>
    <row r="2354" spans="1:4" x14ac:dyDescent="0.25">
      <c r="A2354" t="s">
        <v>1986</v>
      </c>
      <c r="B2354" t="s">
        <v>2272</v>
      </c>
      <c r="C2354" t="s">
        <v>1075</v>
      </c>
      <c r="D2354" t="str">
        <f t="shared" si="36"/>
        <v>jpg</v>
      </c>
    </row>
    <row r="2355" spans="1:4" x14ac:dyDescent="0.25">
      <c r="A2355" t="s">
        <v>1986</v>
      </c>
      <c r="B2355" t="s">
        <v>2272</v>
      </c>
      <c r="C2355" t="s">
        <v>1987</v>
      </c>
      <c r="D2355" t="str">
        <f t="shared" si="36"/>
        <v>txt</v>
      </c>
    </row>
    <row r="2356" spans="1:4" x14ac:dyDescent="0.25">
      <c r="A2356" t="s">
        <v>1986</v>
      </c>
      <c r="B2356" t="s">
        <v>2272</v>
      </c>
      <c r="C2356" t="s">
        <v>1988</v>
      </c>
      <c r="D2356" t="str">
        <f t="shared" si="36"/>
        <v>xlsx</v>
      </c>
    </row>
    <row r="2357" spans="1:4" x14ac:dyDescent="0.25">
      <c r="A2357" t="s">
        <v>1986</v>
      </c>
      <c r="B2357" t="s">
        <v>2272</v>
      </c>
      <c r="C2357" t="s">
        <v>1989</v>
      </c>
      <c r="D2357" t="str">
        <f t="shared" si="36"/>
        <v>pdf</v>
      </c>
    </row>
    <row r="2358" spans="1:4" x14ac:dyDescent="0.25">
      <c r="A2358" t="s">
        <v>1986</v>
      </c>
      <c r="B2358" t="s">
        <v>2272</v>
      </c>
      <c r="C2358" t="s">
        <v>1990</v>
      </c>
      <c r="D2358" t="str">
        <f t="shared" si="36"/>
        <v>xlsx</v>
      </c>
    </row>
    <row r="2359" spans="1:4" x14ac:dyDescent="0.25">
      <c r="A2359" t="s">
        <v>1991</v>
      </c>
      <c r="B2359" t="s">
        <v>2272</v>
      </c>
      <c r="C2359" t="s">
        <v>1066</v>
      </c>
      <c r="D2359" t="str">
        <f t="shared" si="36"/>
        <v>pdf</v>
      </c>
    </row>
    <row r="2360" spans="1:4" x14ac:dyDescent="0.25">
      <c r="A2360" t="s">
        <v>1991</v>
      </c>
      <c r="B2360" t="s">
        <v>2272</v>
      </c>
      <c r="C2360" t="s">
        <v>1070</v>
      </c>
      <c r="D2360" t="str">
        <f t="shared" si="36"/>
        <v>pdf</v>
      </c>
    </row>
    <row r="2361" spans="1:4" x14ac:dyDescent="0.25">
      <c r="A2361" t="s">
        <v>1991</v>
      </c>
      <c r="B2361" t="s">
        <v>2272</v>
      </c>
      <c r="C2361" t="s">
        <v>1992</v>
      </c>
      <c r="D2361" t="str">
        <f t="shared" si="36"/>
        <v>pdf</v>
      </c>
    </row>
    <row r="2362" spans="1:4" x14ac:dyDescent="0.25">
      <c r="A2362" t="s">
        <v>1991</v>
      </c>
      <c r="B2362" t="s">
        <v>2272</v>
      </c>
      <c r="C2362" t="s">
        <v>1993</v>
      </c>
      <c r="D2362" t="str">
        <f t="shared" si="36"/>
        <v>sdg</v>
      </c>
    </row>
    <row r="2363" spans="1:4" x14ac:dyDescent="0.25">
      <c r="A2363" t="s">
        <v>1994</v>
      </c>
      <c r="B2363" t="s">
        <v>2257</v>
      </c>
      <c r="C2363" t="s">
        <v>1995</v>
      </c>
      <c r="D2363" t="str">
        <f t="shared" si="36"/>
        <v>pdf</v>
      </c>
    </row>
    <row r="2364" spans="1:4" x14ac:dyDescent="0.25">
      <c r="A2364" t="s">
        <v>1994</v>
      </c>
      <c r="B2364" t="s">
        <v>2257</v>
      </c>
      <c r="C2364" t="s">
        <v>1996</v>
      </c>
      <c r="D2364" t="str">
        <f t="shared" si="36"/>
        <v>pdf</v>
      </c>
    </row>
    <row r="2365" spans="1:4" x14ac:dyDescent="0.25">
      <c r="A2365" t="s">
        <v>1994</v>
      </c>
      <c r="B2365" t="s">
        <v>2257</v>
      </c>
      <c r="C2365" t="s">
        <v>1997</v>
      </c>
      <c r="D2365" t="str">
        <f t="shared" si="36"/>
        <v>pdf</v>
      </c>
    </row>
    <row r="2366" spans="1:4" x14ac:dyDescent="0.25">
      <c r="A2366" t="s">
        <v>1994</v>
      </c>
      <c r="B2366" t="s">
        <v>2257</v>
      </c>
      <c r="C2366" t="s">
        <v>1998</v>
      </c>
      <c r="D2366" t="str">
        <f t="shared" si="36"/>
        <v>pdf</v>
      </c>
    </row>
    <row r="2367" spans="1:4" x14ac:dyDescent="0.25">
      <c r="A2367" t="s">
        <v>1994</v>
      </c>
      <c r="B2367" t="s">
        <v>2257</v>
      </c>
      <c r="C2367" t="s">
        <v>1999</v>
      </c>
      <c r="D2367" t="str">
        <f t="shared" si="36"/>
        <v>las</v>
      </c>
    </row>
    <row r="2368" spans="1:4" x14ac:dyDescent="0.25">
      <c r="A2368" t="s">
        <v>1994</v>
      </c>
      <c r="B2368" t="s">
        <v>2257</v>
      </c>
      <c r="C2368" t="s">
        <v>2000</v>
      </c>
      <c r="D2368" t="str">
        <f t="shared" si="36"/>
        <v>las</v>
      </c>
    </row>
    <row r="2369" spans="1:4" x14ac:dyDescent="0.25">
      <c r="A2369" t="s">
        <v>1994</v>
      </c>
      <c r="B2369" t="s">
        <v>2257</v>
      </c>
      <c r="C2369" t="s">
        <v>2001</v>
      </c>
      <c r="D2369" t="str">
        <f t="shared" si="36"/>
        <v>las</v>
      </c>
    </row>
    <row r="2370" spans="1:4" x14ac:dyDescent="0.25">
      <c r="A2370" t="s">
        <v>1994</v>
      </c>
      <c r="B2370" t="s">
        <v>2257</v>
      </c>
      <c r="C2370" t="s">
        <v>2002</v>
      </c>
      <c r="D2370" t="str">
        <f t="shared" si="36"/>
        <v>las</v>
      </c>
    </row>
    <row r="2371" spans="1:4" x14ac:dyDescent="0.25">
      <c r="A2371" t="s">
        <v>1994</v>
      </c>
      <c r="B2371" t="s">
        <v>2257</v>
      </c>
      <c r="C2371" t="s">
        <v>2003</v>
      </c>
      <c r="D2371" t="str">
        <f t="shared" ref="D2371:D2434" si="37">IF(ISNUMBER(SEARCH(".pdf",C2371)),"pdf",IF(ISNUMBER(SEARCH(".tif",C2371)),"tif",IF(ISNUMBER(SEARCH(".las",C2371)),"las",IF(ISNUMBER(SEARCH(".sdg",C2371)),"sdg",IF(ISNUMBER(SEARCH(".xlsx",C2371)),"xlsx",IF(ISNUMBER(SEARCH(".docx",C2371)),"docx",IF(ISNUMBER(SEARCH(".rhistory",C2371)),"rhistory",IF(ISNUMBER(SEARCH(".db",C2371)),"db",IF(ISNUMBER(SEARCH(".jpg",C2371)),"jpg",IF(ISNUMBER(SEARCH(".png",C2371)),"png",IF(ISNUMBER(SEARCH(".mdb",C2371)),"mdb",IF(ISNUMBER(SEARCH(".xml",C2371)),"xml",IF(ISNUMBER(SEARCH(".xls",C2371)),"xls",IF(ISNUMBER(SEARCH(".txt",C2371)),"txt",IF(ISNUMBER(SEARCH(".tsf",C2371)),"tsf",IF(ISNUMBER(SEARCH(".sch",C2371)),"sch","ZIP oder R"))))))))))))))))</f>
        <v>las</v>
      </c>
    </row>
    <row r="2372" spans="1:4" x14ac:dyDescent="0.25">
      <c r="A2372" t="s">
        <v>1994</v>
      </c>
      <c r="B2372" t="s">
        <v>2257</v>
      </c>
      <c r="C2372" t="s">
        <v>2004</v>
      </c>
      <c r="D2372" t="str">
        <f t="shared" si="37"/>
        <v>sdg</v>
      </c>
    </row>
    <row r="2373" spans="1:4" x14ac:dyDescent="0.25">
      <c r="A2373" t="s">
        <v>1994</v>
      </c>
      <c r="B2373" t="s">
        <v>2257</v>
      </c>
      <c r="C2373" t="s">
        <v>2005</v>
      </c>
      <c r="D2373" t="str">
        <f t="shared" si="37"/>
        <v>xlsx</v>
      </c>
    </row>
    <row r="2374" spans="1:4" x14ac:dyDescent="0.25">
      <c r="A2374" t="s">
        <v>1994</v>
      </c>
      <c r="B2374" t="s">
        <v>2257</v>
      </c>
      <c r="C2374" t="s">
        <v>2006</v>
      </c>
      <c r="D2374" t="str">
        <f t="shared" si="37"/>
        <v>pdf</v>
      </c>
    </row>
    <row r="2375" spans="1:4" x14ac:dyDescent="0.25">
      <c r="A2375" t="s">
        <v>2007</v>
      </c>
      <c r="B2375" t="s">
        <v>2258</v>
      </c>
      <c r="C2375" t="s">
        <v>2008</v>
      </c>
      <c r="D2375" t="str">
        <f t="shared" si="37"/>
        <v>pdf</v>
      </c>
    </row>
    <row r="2376" spans="1:4" x14ac:dyDescent="0.25">
      <c r="A2376" t="s">
        <v>2007</v>
      </c>
      <c r="B2376" t="s">
        <v>2258</v>
      </c>
      <c r="C2376" t="s">
        <v>2009</v>
      </c>
      <c r="D2376" t="str">
        <f t="shared" si="37"/>
        <v>pdf</v>
      </c>
    </row>
    <row r="2377" spans="1:4" x14ac:dyDescent="0.25">
      <c r="A2377" t="s">
        <v>2007</v>
      </c>
      <c r="B2377" t="s">
        <v>2258</v>
      </c>
      <c r="C2377" t="s">
        <v>2010</v>
      </c>
      <c r="D2377" t="str">
        <f t="shared" si="37"/>
        <v>pdf</v>
      </c>
    </row>
    <row r="2378" spans="1:4" x14ac:dyDescent="0.25">
      <c r="A2378" t="s">
        <v>2007</v>
      </c>
      <c r="B2378" t="s">
        <v>2258</v>
      </c>
      <c r="C2378" t="s">
        <v>2011</v>
      </c>
      <c r="D2378" t="str">
        <f t="shared" si="37"/>
        <v>pdf</v>
      </c>
    </row>
    <row r="2379" spans="1:4" x14ac:dyDescent="0.25">
      <c r="A2379" t="s">
        <v>2007</v>
      </c>
      <c r="B2379" t="s">
        <v>2258</v>
      </c>
      <c r="C2379" t="s">
        <v>2012</v>
      </c>
      <c r="D2379" t="str">
        <f t="shared" si="37"/>
        <v>pdf</v>
      </c>
    </row>
    <row r="2380" spans="1:4" x14ac:dyDescent="0.25">
      <c r="A2380" t="s">
        <v>2007</v>
      </c>
      <c r="B2380" t="s">
        <v>2258</v>
      </c>
      <c r="C2380" t="s">
        <v>2013</v>
      </c>
      <c r="D2380" t="str">
        <f t="shared" si="37"/>
        <v>pdf</v>
      </c>
    </row>
    <row r="2381" spans="1:4" x14ac:dyDescent="0.25">
      <c r="A2381" t="s">
        <v>2007</v>
      </c>
      <c r="B2381" t="s">
        <v>2258</v>
      </c>
      <c r="C2381" t="s">
        <v>2014</v>
      </c>
      <c r="D2381" t="str">
        <f t="shared" si="37"/>
        <v>pdf</v>
      </c>
    </row>
    <row r="2382" spans="1:4" x14ac:dyDescent="0.25">
      <c r="A2382" t="s">
        <v>2007</v>
      </c>
      <c r="B2382" t="s">
        <v>2258</v>
      </c>
      <c r="C2382" t="s">
        <v>2015</v>
      </c>
      <c r="D2382" t="str">
        <f t="shared" si="37"/>
        <v>pdf</v>
      </c>
    </row>
    <row r="2383" spans="1:4" x14ac:dyDescent="0.25">
      <c r="A2383" t="s">
        <v>2007</v>
      </c>
      <c r="B2383" t="s">
        <v>2258</v>
      </c>
      <c r="C2383" t="s">
        <v>2016</v>
      </c>
      <c r="D2383" t="str">
        <f t="shared" si="37"/>
        <v>pdf</v>
      </c>
    </row>
    <row r="2384" spans="1:4" x14ac:dyDescent="0.25">
      <c r="A2384" t="s">
        <v>2007</v>
      </c>
      <c r="B2384" t="s">
        <v>2258</v>
      </c>
      <c r="C2384" t="s">
        <v>2017</v>
      </c>
      <c r="D2384" t="str">
        <f t="shared" si="37"/>
        <v>pdf</v>
      </c>
    </row>
    <row r="2385" spans="1:4" x14ac:dyDescent="0.25">
      <c r="A2385" t="s">
        <v>2007</v>
      </c>
      <c r="B2385" t="s">
        <v>2258</v>
      </c>
      <c r="C2385" t="s">
        <v>2018</v>
      </c>
      <c r="D2385" t="str">
        <f t="shared" si="37"/>
        <v>pdf</v>
      </c>
    </row>
    <row r="2386" spans="1:4" x14ac:dyDescent="0.25">
      <c r="A2386" t="s">
        <v>2007</v>
      </c>
      <c r="B2386" t="s">
        <v>2258</v>
      </c>
      <c r="C2386" t="s">
        <v>2019</v>
      </c>
      <c r="D2386" t="str">
        <f t="shared" si="37"/>
        <v>pdf</v>
      </c>
    </row>
    <row r="2387" spans="1:4" x14ac:dyDescent="0.25">
      <c r="A2387" t="s">
        <v>2007</v>
      </c>
      <c r="B2387" t="s">
        <v>2258</v>
      </c>
      <c r="C2387" t="s">
        <v>2020</v>
      </c>
      <c r="D2387" t="str">
        <f t="shared" si="37"/>
        <v>pdf</v>
      </c>
    </row>
    <row r="2388" spans="1:4" x14ac:dyDescent="0.25">
      <c r="A2388" t="s">
        <v>2007</v>
      </c>
      <c r="B2388" t="s">
        <v>2258</v>
      </c>
      <c r="C2388" t="s">
        <v>2021</v>
      </c>
      <c r="D2388" t="str">
        <f t="shared" si="37"/>
        <v>pdf</v>
      </c>
    </row>
    <row r="2389" spans="1:4" x14ac:dyDescent="0.25">
      <c r="A2389" t="s">
        <v>2007</v>
      </c>
      <c r="B2389" t="s">
        <v>2258</v>
      </c>
      <c r="C2389" t="s">
        <v>2022</v>
      </c>
      <c r="D2389" t="str">
        <f t="shared" si="37"/>
        <v>pdf</v>
      </c>
    </row>
    <row r="2390" spans="1:4" x14ac:dyDescent="0.25">
      <c r="A2390" t="s">
        <v>2007</v>
      </c>
      <c r="B2390" t="s">
        <v>2258</v>
      </c>
      <c r="C2390" t="s">
        <v>2023</v>
      </c>
      <c r="D2390" t="str">
        <f t="shared" si="37"/>
        <v>pdf</v>
      </c>
    </row>
    <row r="2391" spans="1:4" x14ac:dyDescent="0.25">
      <c r="A2391" t="s">
        <v>2007</v>
      </c>
      <c r="B2391" t="s">
        <v>2258</v>
      </c>
      <c r="C2391" t="s">
        <v>2024</v>
      </c>
      <c r="D2391" t="str">
        <f t="shared" si="37"/>
        <v>pdf</v>
      </c>
    </row>
    <row r="2392" spans="1:4" x14ac:dyDescent="0.25">
      <c r="A2392" t="s">
        <v>2007</v>
      </c>
      <c r="B2392" t="s">
        <v>2258</v>
      </c>
      <c r="C2392" t="s">
        <v>2025</v>
      </c>
      <c r="D2392" t="str">
        <f t="shared" si="37"/>
        <v>pdf</v>
      </c>
    </row>
    <row r="2393" spans="1:4" x14ac:dyDescent="0.25">
      <c r="A2393" t="s">
        <v>2007</v>
      </c>
      <c r="B2393" t="s">
        <v>2258</v>
      </c>
      <c r="C2393" t="s">
        <v>2026</v>
      </c>
      <c r="D2393" t="str">
        <f t="shared" si="37"/>
        <v>pdf</v>
      </c>
    </row>
    <row r="2394" spans="1:4" x14ac:dyDescent="0.25">
      <c r="A2394" t="s">
        <v>2027</v>
      </c>
      <c r="B2394" t="s">
        <v>2259</v>
      </c>
      <c r="C2394" t="s">
        <v>2028</v>
      </c>
      <c r="D2394" t="str">
        <f t="shared" si="37"/>
        <v>pdf</v>
      </c>
    </row>
    <row r="2395" spans="1:4" x14ac:dyDescent="0.25">
      <c r="A2395" t="s">
        <v>2029</v>
      </c>
      <c r="B2395" t="s">
        <v>2260</v>
      </c>
      <c r="C2395" t="s">
        <v>2030</v>
      </c>
      <c r="D2395" t="str">
        <f t="shared" si="37"/>
        <v>las</v>
      </c>
    </row>
    <row r="2396" spans="1:4" x14ac:dyDescent="0.25">
      <c r="A2396" t="s">
        <v>2029</v>
      </c>
      <c r="B2396" t="s">
        <v>2260</v>
      </c>
      <c r="C2396" t="s">
        <v>2031</v>
      </c>
      <c r="D2396" t="str">
        <f t="shared" si="37"/>
        <v>sdg</v>
      </c>
    </row>
    <row r="2397" spans="1:4" x14ac:dyDescent="0.25">
      <c r="A2397" t="s">
        <v>2029</v>
      </c>
      <c r="B2397" t="s">
        <v>2260</v>
      </c>
      <c r="C2397" t="s">
        <v>2032</v>
      </c>
      <c r="D2397" t="str">
        <f t="shared" si="37"/>
        <v>xlsx</v>
      </c>
    </row>
    <row r="2398" spans="1:4" x14ac:dyDescent="0.25">
      <c r="A2398" t="s">
        <v>2033</v>
      </c>
      <c r="B2398" t="s">
        <v>2261</v>
      </c>
      <c r="C2398" t="s">
        <v>2034</v>
      </c>
      <c r="D2398" t="str">
        <f t="shared" si="37"/>
        <v>sdg</v>
      </c>
    </row>
    <row r="2399" spans="1:4" x14ac:dyDescent="0.25">
      <c r="A2399" t="s">
        <v>2033</v>
      </c>
      <c r="B2399" t="s">
        <v>2261</v>
      </c>
      <c r="C2399" t="s">
        <v>2035</v>
      </c>
      <c r="D2399" t="str">
        <f t="shared" si="37"/>
        <v>tsf</v>
      </c>
    </row>
    <row r="2400" spans="1:4" x14ac:dyDescent="0.25">
      <c r="A2400" t="s">
        <v>2033</v>
      </c>
      <c r="B2400" t="s">
        <v>2261</v>
      </c>
      <c r="C2400" t="s">
        <v>2036</v>
      </c>
      <c r="D2400" t="str">
        <f t="shared" si="37"/>
        <v>tsf</v>
      </c>
    </row>
    <row r="2401" spans="1:4" x14ac:dyDescent="0.25">
      <c r="A2401" t="s">
        <v>2033</v>
      </c>
      <c r="B2401" t="s">
        <v>2261</v>
      </c>
      <c r="C2401" t="s">
        <v>2037</v>
      </c>
      <c r="D2401" t="str">
        <f t="shared" si="37"/>
        <v>sch</v>
      </c>
    </row>
    <row r="2402" spans="1:4" x14ac:dyDescent="0.25">
      <c r="A2402" t="s">
        <v>2033</v>
      </c>
      <c r="B2402" t="s">
        <v>2261</v>
      </c>
      <c r="C2402" t="s">
        <v>2038</v>
      </c>
      <c r="D2402" t="str">
        <f t="shared" si="37"/>
        <v>tsf</v>
      </c>
    </row>
    <row r="2403" spans="1:4" x14ac:dyDescent="0.25">
      <c r="A2403" t="s">
        <v>2033</v>
      </c>
      <c r="B2403" t="s">
        <v>2261</v>
      </c>
      <c r="C2403" t="s">
        <v>2039</v>
      </c>
      <c r="D2403" t="str">
        <f t="shared" si="37"/>
        <v>png</v>
      </c>
    </row>
    <row r="2404" spans="1:4" x14ac:dyDescent="0.25">
      <c r="A2404" t="s">
        <v>2033</v>
      </c>
      <c r="B2404" t="s">
        <v>2261</v>
      </c>
      <c r="C2404" t="s">
        <v>2040</v>
      </c>
      <c r="D2404" t="str">
        <f t="shared" si="37"/>
        <v>sch</v>
      </c>
    </row>
    <row r="2405" spans="1:4" x14ac:dyDescent="0.25">
      <c r="A2405" t="s">
        <v>2033</v>
      </c>
      <c r="B2405" t="s">
        <v>2261</v>
      </c>
      <c r="C2405" t="s">
        <v>2041</v>
      </c>
      <c r="D2405" t="str">
        <f t="shared" si="37"/>
        <v>sch</v>
      </c>
    </row>
    <row r="2406" spans="1:4" x14ac:dyDescent="0.25">
      <c r="A2406" t="s">
        <v>2033</v>
      </c>
      <c r="B2406" t="s">
        <v>2261</v>
      </c>
      <c r="C2406" t="s">
        <v>2042</v>
      </c>
      <c r="D2406" t="str">
        <f t="shared" si="37"/>
        <v>sch</v>
      </c>
    </row>
    <row r="2407" spans="1:4" x14ac:dyDescent="0.25">
      <c r="A2407" t="s">
        <v>2033</v>
      </c>
      <c r="B2407" t="s">
        <v>2261</v>
      </c>
      <c r="C2407" t="s">
        <v>2043</v>
      </c>
      <c r="D2407" t="str">
        <f t="shared" si="37"/>
        <v>sch</v>
      </c>
    </row>
    <row r="2408" spans="1:4" x14ac:dyDescent="0.25">
      <c r="A2408" t="s">
        <v>2033</v>
      </c>
      <c r="B2408" t="s">
        <v>2261</v>
      </c>
      <c r="C2408" t="s">
        <v>2044</v>
      </c>
      <c r="D2408" t="str">
        <f t="shared" si="37"/>
        <v>sch</v>
      </c>
    </row>
    <row r="2409" spans="1:4" x14ac:dyDescent="0.25">
      <c r="A2409" t="s">
        <v>2033</v>
      </c>
      <c r="B2409" t="s">
        <v>2261</v>
      </c>
      <c r="C2409" t="s">
        <v>2045</v>
      </c>
      <c r="D2409" t="str">
        <f t="shared" si="37"/>
        <v>sch</v>
      </c>
    </row>
    <row r="2410" spans="1:4" x14ac:dyDescent="0.25">
      <c r="A2410" t="s">
        <v>2033</v>
      </c>
      <c r="B2410" t="s">
        <v>2261</v>
      </c>
      <c r="C2410" t="s">
        <v>2046</v>
      </c>
      <c r="D2410" t="str">
        <f t="shared" si="37"/>
        <v>sch</v>
      </c>
    </row>
    <row r="2411" spans="1:4" x14ac:dyDescent="0.25">
      <c r="A2411" t="s">
        <v>2033</v>
      </c>
      <c r="B2411" t="s">
        <v>2261</v>
      </c>
      <c r="C2411" t="s">
        <v>2047</v>
      </c>
      <c r="D2411" t="str">
        <f t="shared" si="37"/>
        <v>sch</v>
      </c>
    </row>
    <row r="2412" spans="1:4" x14ac:dyDescent="0.25">
      <c r="A2412" t="s">
        <v>2033</v>
      </c>
      <c r="B2412" t="s">
        <v>2261</v>
      </c>
      <c r="C2412" t="s">
        <v>2048</v>
      </c>
      <c r="D2412" t="str">
        <f t="shared" si="37"/>
        <v>png</v>
      </c>
    </row>
    <row r="2413" spans="1:4" x14ac:dyDescent="0.25">
      <c r="A2413" t="s">
        <v>2033</v>
      </c>
      <c r="B2413" t="s">
        <v>2261</v>
      </c>
      <c r="C2413" t="s">
        <v>2049</v>
      </c>
      <c r="D2413" t="str">
        <f t="shared" si="37"/>
        <v>docx</v>
      </c>
    </row>
    <row r="2414" spans="1:4" x14ac:dyDescent="0.25">
      <c r="A2414" t="s">
        <v>2033</v>
      </c>
      <c r="B2414" t="s">
        <v>2261</v>
      </c>
      <c r="C2414" t="s">
        <v>2050</v>
      </c>
      <c r="D2414" t="str">
        <f t="shared" si="37"/>
        <v>tsf</v>
      </c>
    </row>
    <row r="2415" spans="1:4" x14ac:dyDescent="0.25">
      <c r="A2415" t="s">
        <v>2051</v>
      </c>
      <c r="B2415" t="s">
        <v>2262</v>
      </c>
      <c r="C2415" t="s">
        <v>2052</v>
      </c>
      <c r="D2415" t="str">
        <f t="shared" si="37"/>
        <v>pdf</v>
      </c>
    </row>
    <row r="2416" spans="1:4" x14ac:dyDescent="0.25">
      <c r="A2416" t="s">
        <v>2051</v>
      </c>
      <c r="B2416" t="s">
        <v>2262</v>
      </c>
      <c r="C2416" t="s">
        <v>2053</v>
      </c>
      <c r="D2416" t="str">
        <f t="shared" si="37"/>
        <v>pdf</v>
      </c>
    </row>
    <row r="2417" spans="1:4" x14ac:dyDescent="0.25">
      <c r="A2417" t="s">
        <v>2051</v>
      </c>
      <c r="B2417" t="s">
        <v>2262</v>
      </c>
      <c r="C2417" t="s">
        <v>2054</v>
      </c>
      <c r="D2417" t="str">
        <f t="shared" si="37"/>
        <v>pdf</v>
      </c>
    </row>
    <row r="2418" spans="1:4" x14ac:dyDescent="0.25">
      <c r="A2418" t="s">
        <v>2051</v>
      </c>
      <c r="B2418" t="s">
        <v>2262</v>
      </c>
      <c r="C2418" t="s">
        <v>2055</v>
      </c>
      <c r="D2418" t="str">
        <f t="shared" si="37"/>
        <v>pdf</v>
      </c>
    </row>
    <row r="2419" spans="1:4" x14ac:dyDescent="0.25">
      <c r="A2419" t="s">
        <v>2056</v>
      </c>
      <c r="B2419" t="s">
        <v>2263</v>
      </c>
      <c r="C2419" t="s">
        <v>2057</v>
      </c>
      <c r="D2419" t="str">
        <f t="shared" si="37"/>
        <v>las</v>
      </c>
    </row>
    <row r="2420" spans="1:4" x14ac:dyDescent="0.25">
      <c r="A2420" t="s">
        <v>2056</v>
      </c>
      <c r="B2420" t="s">
        <v>2263</v>
      </c>
      <c r="C2420" t="s">
        <v>2058</v>
      </c>
      <c r="D2420" t="str">
        <f t="shared" si="37"/>
        <v>pdf</v>
      </c>
    </row>
    <row r="2421" spans="1:4" x14ac:dyDescent="0.25">
      <c r="A2421" t="s">
        <v>2056</v>
      </c>
      <c r="B2421" t="s">
        <v>2263</v>
      </c>
      <c r="C2421" t="s">
        <v>2059</v>
      </c>
      <c r="D2421" t="str">
        <f t="shared" si="37"/>
        <v>sdg</v>
      </c>
    </row>
    <row r="2422" spans="1:4" x14ac:dyDescent="0.25">
      <c r="A2422" t="s">
        <v>2056</v>
      </c>
      <c r="B2422" t="s">
        <v>2263</v>
      </c>
      <c r="C2422" t="s">
        <v>2060</v>
      </c>
      <c r="D2422" t="str">
        <f t="shared" si="37"/>
        <v>xlsx</v>
      </c>
    </row>
    <row r="2423" spans="1:4" x14ac:dyDescent="0.25">
      <c r="A2423" t="s">
        <v>2061</v>
      </c>
      <c r="B2423" t="s">
        <v>2264</v>
      </c>
      <c r="C2423" t="s">
        <v>2062</v>
      </c>
      <c r="D2423" t="str">
        <f t="shared" si="37"/>
        <v>las</v>
      </c>
    </row>
    <row r="2424" spans="1:4" x14ac:dyDescent="0.25">
      <c r="A2424" t="s">
        <v>2061</v>
      </c>
      <c r="B2424" t="s">
        <v>2264</v>
      </c>
      <c r="C2424" t="s">
        <v>2063</v>
      </c>
      <c r="D2424" t="str">
        <f t="shared" si="37"/>
        <v>las</v>
      </c>
    </row>
    <row r="2425" spans="1:4" x14ac:dyDescent="0.25">
      <c r="A2425" t="s">
        <v>2061</v>
      </c>
      <c r="B2425" t="s">
        <v>2264</v>
      </c>
      <c r="C2425" t="s">
        <v>2064</v>
      </c>
      <c r="D2425" t="str">
        <f t="shared" si="37"/>
        <v>las</v>
      </c>
    </row>
    <row r="2426" spans="1:4" x14ac:dyDescent="0.25">
      <c r="A2426" t="s">
        <v>2061</v>
      </c>
      <c r="B2426" t="s">
        <v>2264</v>
      </c>
      <c r="C2426" t="s">
        <v>2065</v>
      </c>
      <c r="D2426" t="str">
        <f t="shared" si="37"/>
        <v>las</v>
      </c>
    </row>
    <row r="2427" spans="1:4" x14ac:dyDescent="0.25">
      <c r="A2427" t="s">
        <v>2061</v>
      </c>
      <c r="B2427" t="s">
        <v>2264</v>
      </c>
      <c r="C2427" t="s">
        <v>2066</v>
      </c>
      <c r="D2427" t="str">
        <f t="shared" si="37"/>
        <v>sdg</v>
      </c>
    </row>
    <row r="2428" spans="1:4" x14ac:dyDescent="0.25">
      <c r="A2428" t="s">
        <v>2061</v>
      </c>
      <c r="B2428" t="s">
        <v>2264</v>
      </c>
      <c r="C2428" t="s">
        <v>2067</v>
      </c>
      <c r="D2428" t="str">
        <f t="shared" si="37"/>
        <v>xlsx</v>
      </c>
    </row>
    <row r="2429" spans="1:4" x14ac:dyDescent="0.25">
      <c r="A2429" t="s">
        <v>2068</v>
      </c>
      <c r="B2429" t="s">
        <v>2265</v>
      </c>
      <c r="C2429" t="s">
        <v>2069</v>
      </c>
      <c r="D2429" t="str">
        <f t="shared" si="37"/>
        <v>pdf</v>
      </c>
    </row>
    <row r="2430" spans="1:4" x14ac:dyDescent="0.25">
      <c r="A2430" t="s">
        <v>2068</v>
      </c>
      <c r="B2430" t="s">
        <v>2265</v>
      </c>
      <c r="C2430" t="s">
        <v>2070</v>
      </c>
      <c r="D2430" t="str">
        <f t="shared" si="37"/>
        <v>pdf</v>
      </c>
    </row>
    <row r="2431" spans="1:4" x14ac:dyDescent="0.25">
      <c r="A2431" t="s">
        <v>2071</v>
      </c>
      <c r="B2431" t="s">
        <v>2266</v>
      </c>
      <c r="C2431" t="s">
        <v>2072</v>
      </c>
      <c r="D2431" t="str">
        <f t="shared" si="37"/>
        <v>las</v>
      </c>
    </row>
    <row r="2432" spans="1:4" x14ac:dyDescent="0.25">
      <c r="A2432" t="s">
        <v>2071</v>
      </c>
      <c r="B2432" t="s">
        <v>2266</v>
      </c>
      <c r="C2432" t="s">
        <v>2073</v>
      </c>
      <c r="D2432" t="str">
        <f t="shared" si="37"/>
        <v>las</v>
      </c>
    </row>
    <row r="2433" spans="1:4" x14ac:dyDescent="0.25">
      <c r="A2433" t="s">
        <v>2071</v>
      </c>
      <c r="B2433" t="s">
        <v>2266</v>
      </c>
      <c r="C2433" t="s">
        <v>2074</v>
      </c>
      <c r="D2433" t="str">
        <f t="shared" si="37"/>
        <v>sdg</v>
      </c>
    </row>
    <row r="2434" spans="1:4" x14ac:dyDescent="0.25">
      <c r="A2434" t="s">
        <v>2071</v>
      </c>
      <c r="B2434" t="s">
        <v>2266</v>
      </c>
      <c r="C2434" t="s">
        <v>2075</v>
      </c>
      <c r="D2434" t="str">
        <f t="shared" si="37"/>
        <v>xlsx</v>
      </c>
    </row>
    <row r="2435" spans="1:4" x14ac:dyDescent="0.25">
      <c r="A2435" t="s">
        <v>2076</v>
      </c>
      <c r="B2435" t="s">
        <v>2267</v>
      </c>
      <c r="C2435" t="s">
        <v>2077</v>
      </c>
      <c r="D2435" t="str">
        <f t="shared" ref="D2435:D2441" si="38">IF(ISNUMBER(SEARCH(".pdf",C2435)),"pdf",IF(ISNUMBER(SEARCH(".tif",C2435)),"tif",IF(ISNUMBER(SEARCH(".las",C2435)),"las",IF(ISNUMBER(SEARCH(".sdg",C2435)),"sdg",IF(ISNUMBER(SEARCH(".xlsx",C2435)),"xlsx",IF(ISNUMBER(SEARCH(".docx",C2435)),"docx",IF(ISNUMBER(SEARCH(".rhistory",C2435)),"rhistory",IF(ISNUMBER(SEARCH(".db",C2435)),"db",IF(ISNUMBER(SEARCH(".jpg",C2435)),"jpg",IF(ISNUMBER(SEARCH(".png",C2435)),"png",IF(ISNUMBER(SEARCH(".mdb",C2435)),"mdb",IF(ISNUMBER(SEARCH(".xml",C2435)),"xml",IF(ISNUMBER(SEARCH(".xls",C2435)),"xls",IF(ISNUMBER(SEARCH(".txt",C2435)),"txt",IF(ISNUMBER(SEARCH(".tsf",C2435)),"tsf",IF(ISNUMBER(SEARCH(".sch",C2435)),"sch","ZIP oder R"))))))))))))))))</f>
        <v>las</v>
      </c>
    </row>
    <row r="2436" spans="1:4" x14ac:dyDescent="0.25">
      <c r="A2436" t="s">
        <v>2076</v>
      </c>
      <c r="B2436" t="s">
        <v>2267</v>
      </c>
      <c r="C2436" t="s">
        <v>2078</v>
      </c>
      <c r="D2436" t="str">
        <f t="shared" si="38"/>
        <v>las</v>
      </c>
    </row>
    <row r="2437" spans="1:4" x14ac:dyDescent="0.25">
      <c r="A2437" t="s">
        <v>2076</v>
      </c>
      <c r="B2437" t="s">
        <v>2267</v>
      </c>
      <c r="C2437" t="s">
        <v>2079</v>
      </c>
      <c r="D2437" t="str">
        <f t="shared" si="38"/>
        <v>sdg</v>
      </c>
    </row>
    <row r="2438" spans="1:4" x14ac:dyDescent="0.25">
      <c r="A2438" t="s">
        <v>2076</v>
      </c>
      <c r="B2438" t="s">
        <v>2267</v>
      </c>
      <c r="C2438" t="s">
        <v>2080</v>
      </c>
      <c r="D2438" t="str">
        <f t="shared" si="38"/>
        <v>xlsx</v>
      </c>
    </row>
    <row r="2439" spans="1:4" x14ac:dyDescent="0.25">
      <c r="A2439" t="s">
        <v>2081</v>
      </c>
      <c r="B2439" t="s">
        <v>2268</v>
      </c>
      <c r="C2439" t="s">
        <v>2082</v>
      </c>
      <c r="D2439" t="str">
        <f t="shared" si="38"/>
        <v>las</v>
      </c>
    </row>
    <row r="2440" spans="1:4" x14ac:dyDescent="0.25">
      <c r="A2440" t="s">
        <v>2081</v>
      </c>
      <c r="B2440" t="s">
        <v>2268</v>
      </c>
      <c r="C2440" t="s">
        <v>2083</v>
      </c>
      <c r="D2440" t="str">
        <f t="shared" si="38"/>
        <v>sdg</v>
      </c>
    </row>
    <row r="2441" spans="1:4" x14ac:dyDescent="0.25">
      <c r="A2441" t="s">
        <v>2081</v>
      </c>
      <c r="B2441" t="s">
        <v>2268</v>
      </c>
      <c r="C2441" t="s">
        <v>2084</v>
      </c>
      <c r="D2441" t="str">
        <f t="shared" si="38"/>
        <v>xlsx</v>
      </c>
    </row>
  </sheetData>
  <autoFilter ref="A1:D244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V191"/>
  <sheetViews>
    <sheetView topLeftCell="C1" workbookViewId="0">
      <selection activeCell="U2" sqref="U2"/>
    </sheetView>
  </sheetViews>
  <sheetFormatPr baseColWidth="10" defaultRowHeight="15" x14ac:dyDescent="0.25"/>
  <cols>
    <col min="2" max="2" width="34.85546875" bestFit="1" customWidth="1"/>
    <col min="21" max="21" width="18.140625" bestFit="1" customWidth="1"/>
    <col min="22" max="22" width="12.42578125" bestFit="1" customWidth="1"/>
  </cols>
  <sheetData>
    <row r="1" spans="1:22" x14ac:dyDescent="0.25">
      <c r="A1" t="s">
        <v>2087</v>
      </c>
      <c r="B1" t="s">
        <v>2088</v>
      </c>
      <c r="C1" t="s">
        <v>2273</v>
      </c>
      <c r="D1" t="s">
        <v>2274</v>
      </c>
      <c r="E1" t="s">
        <v>2275</v>
      </c>
      <c r="F1" t="s">
        <v>2276</v>
      </c>
      <c r="G1" t="s">
        <v>2277</v>
      </c>
      <c r="H1" t="s">
        <v>2278</v>
      </c>
      <c r="I1" t="s">
        <v>2279</v>
      </c>
      <c r="J1" t="s">
        <v>2280</v>
      </c>
      <c r="K1" t="s">
        <v>2281</v>
      </c>
      <c r="L1" t="s">
        <v>2282</v>
      </c>
      <c r="M1" t="s">
        <v>2283</v>
      </c>
      <c r="N1" t="s">
        <v>2284</v>
      </c>
      <c r="O1" t="s">
        <v>2285</v>
      </c>
      <c r="P1" t="s">
        <v>2286</v>
      </c>
      <c r="Q1" t="s">
        <v>2287</v>
      </c>
      <c r="R1" t="s">
        <v>2288</v>
      </c>
      <c r="S1" t="s">
        <v>2289</v>
      </c>
      <c r="U1" t="s">
        <v>2086</v>
      </c>
      <c r="V1" t="s">
        <v>2341</v>
      </c>
    </row>
    <row r="2" spans="1:22" x14ac:dyDescent="0.25">
      <c r="A2">
        <v>1</v>
      </c>
      <c r="B2" t="s">
        <v>2089</v>
      </c>
      <c r="C2" s="2">
        <f>IF(SUMPRODUCT(('alle Dateien'!B:B=Bohrungen!B2)*('alle Dateien'!D:D="pdf"))&gt;0,1,0)</f>
        <v>1</v>
      </c>
      <c r="D2">
        <f>IF(SUMPRODUCT(('alle Dateien'!B:B=Bohrungen!B2)*('alle Dateien'!D:D="tif"))&gt;0,1,0)</f>
        <v>1</v>
      </c>
      <c r="E2">
        <f>IF(SUMPRODUCT(('alle Dateien'!B:B=Bohrungen!B2)*('alle Dateien'!D:D="sdg"))&gt;0,1,0)</f>
        <v>0</v>
      </c>
      <c r="F2">
        <f>IF(SUMPRODUCT(('alle Dateien'!B:B=Bohrungen!B2)*('alle Dateien'!D:D="xlsx"))&gt;0,1,0)</f>
        <v>0</v>
      </c>
      <c r="G2">
        <f>IF(SUMPRODUCT(('alle Dateien'!B:B=Bohrungen!B2)*('alle Dateien'!D:D="docx"))&gt;0,1,0)</f>
        <v>0</v>
      </c>
      <c r="H2">
        <f>IF(SUMPRODUCT(('alle Dateien'!B:B=Bohrungen!B2)*('alle Dateien'!D:D="las"))&gt;0,1,0)</f>
        <v>0</v>
      </c>
      <c r="I2">
        <f>IF(SUMPRODUCT(('alle Dateien'!B:B=Bohrungen!B2)*('alle Dateien'!D:D="db"))&gt;0,1,0)</f>
        <v>0</v>
      </c>
      <c r="J2">
        <f>IF(SUMPRODUCT(('alle Dateien'!B:B=Bohrungen!B2)*('alle Dateien'!D:D="rhistory"))&gt;0,1,0)</f>
        <v>0</v>
      </c>
      <c r="K2">
        <f>IF(SUMPRODUCT(('alle Dateien'!B:B=Bohrungen!B2)*('alle Dateien'!D:D="mdb"))&gt;0,1,0)</f>
        <v>0</v>
      </c>
      <c r="L2">
        <f>IF(SUMPRODUCT(('alle Dateien'!B:B=Bohrungen!B2)*('alle Dateien'!D:D="xml"))&gt;0,1,0)</f>
        <v>0</v>
      </c>
      <c r="M2">
        <f>IF(SUMPRODUCT(('alle Dateien'!B:B=Bohrungen!B2)*('alle Dateien'!D:D="jpg"))&gt;0,1,0)</f>
        <v>0</v>
      </c>
      <c r="N2">
        <f>IF(SUMPRODUCT(('alle Dateien'!B:B=Bohrungen!B2)*('alle Dateien'!D:D="png"))&gt;0,1,0)</f>
        <v>0</v>
      </c>
      <c r="O2">
        <f>IF(SUMPRODUCT(('alle Dateien'!B:B=Bohrungen!B2)*('alle Dateien'!D:D="xls"))&gt;0,1,0)</f>
        <v>0</v>
      </c>
      <c r="P2">
        <f>IF(SUMPRODUCT(('alle Dateien'!B:B=Bohrungen!B2)*('alle Dateien'!D:D="txt"))&gt;0,1,0)</f>
        <v>0</v>
      </c>
      <c r="Q2">
        <f>IF(SUMPRODUCT(('alle Dateien'!B:B=Bohrungen!B2)*('alle Dateien'!D:D="ZIP oder R"))&gt;0,1,0)</f>
        <v>0</v>
      </c>
      <c r="R2">
        <f>IF(SUMPRODUCT(('alle Dateien'!B:B=Bohrungen!B2)*('alle Dateien'!D:D="tsf"))&gt;0,1,0)</f>
        <v>0</v>
      </c>
      <c r="S2">
        <f>IF(SUMPRODUCT(('alle Dateien'!B:B=Bohrungen!B2)*('alle Dateien'!D:D="sch"))&gt;0,1,0)</f>
        <v>0</v>
      </c>
      <c r="U2" t="str">
        <f t="shared" ref="U2:U33" si="0">CONCATENATE(C2,D2,E2,F2,G2,H2,I2,J2,K2,L2,M2,N2,O2,P2,Q2,R2,S2,)</f>
        <v>11000000000000000</v>
      </c>
      <c r="V2" t="str">
        <f>VLOOKUP(U2,Kategorie!B:C,2,FALSE)</f>
        <v>pdf/ tif</v>
      </c>
    </row>
    <row r="3" spans="1:22" x14ac:dyDescent="0.25">
      <c r="A3">
        <v>2</v>
      </c>
      <c r="B3" t="s">
        <v>2090</v>
      </c>
      <c r="C3" s="2">
        <f>IF(SUMPRODUCT(('alle Dateien'!B:B=Bohrungen!B3)*('alle Dateien'!D:D="pdf"))&gt;0,1,0)</f>
        <v>1</v>
      </c>
      <c r="D3">
        <f>IF(SUMPRODUCT(('alle Dateien'!B:B=Bohrungen!B3)*('alle Dateien'!D:D="tif"))&gt;0,1,0)</f>
        <v>0</v>
      </c>
      <c r="E3">
        <f>IF(SUMPRODUCT(('alle Dateien'!B:B=Bohrungen!B3)*('alle Dateien'!D:D="sdg"))&gt;0,1,0)</f>
        <v>0</v>
      </c>
      <c r="F3">
        <f>IF(SUMPRODUCT(('alle Dateien'!B:B=Bohrungen!B3)*('alle Dateien'!D:D="xlsx"))&gt;0,1,0)</f>
        <v>0</v>
      </c>
      <c r="G3">
        <f>IF(SUMPRODUCT(('alle Dateien'!B:B=Bohrungen!B3)*('alle Dateien'!D:D="docx"))&gt;0,1,0)</f>
        <v>0</v>
      </c>
      <c r="H3">
        <f>IF(SUMPRODUCT(('alle Dateien'!B:B=Bohrungen!B3)*('alle Dateien'!D:D="las"))&gt;0,1,0)</f>
        <v>0</v>
      </c>
      <c r="I3">
        <f>IF(SUMPRODUCT(('alle Dateien'!B:B=Bohrungen!B3)*('alle Dateien'!D:D="db"))&gt;0,1,0)</f>
        <v>0</v>
      </c>
      <c r="J3">
        <f>IF(SUMPRODUCT(('alle Dateien'!B:B=Bohrungen!B3)*('alle Dateien'!D:D="rhistory"))&gt;0,1,0)</f>
        <v>0</v>
      </c>
      <c r="K3">
        <f>IF(SUMPRODUCT(('alle Dateien'!B:B=Bohrungen!B3)*('alle Dateien'!D:D="mdb"))&gt;0,1,0)</f>
        <v>0</v>
      </c>
      <c r="L3">
        <f>IF(SUMPRODUCT(('alle Dateien'!B:B=Bohrungen!B3)*('alle Dateien'!D:D="xml"))&gt;0,1,0)</f>
        <v>0</v>
      </c>
      <c r="M3">
        <f>IF(SUMPRODUCT(('alle Dateien'!B:B=Bohrungen!B3)*('alle Dateien'!D:D="jpg"))&gt;0,1,0)</f>
        <v>0</v>
      </c>
      <c r="N3">
        <f>IF(SUMPRODUCT(('alle Dateien'!B:B=Bohrungen!B3)*('alle Dateien'!D:D="png"))&gt;0,1,0)</f>
        <v>0</v>
      </c>
      <c r="O3">
        <f>IF(SUMPRODUCT(('alle Dateien'!B:B=Bohrungen!B3)*('alle Dateien'!D:D="xls"))&gt;0,1,0)</f>
        <v>0</v>
      </c>
      <c r="P3">
        <f>IF(SUMPRODUCT(('alle Dateien'!B:B=Bohrungen!B3)*('alle Dateien'!D:D="txt"))&gt;0,1,0)</f>
        <v>0</v>
      </c>
      <c r="Q3">
        <f>IF(SUMPRODUCT(('alle Dateien'!B:B=Bohrungen!B3)*('alle Dateien'!D:D="ZIP oder R"))&gt;0,1,0)</f>
        <v>0</v>
      </c>
      <c r="R3">
        <f>IF(SUMPRODUCT(('alle Dateien'!B:B=Bohrungen!B3)*('alle Dateien'!D:D="tsf"))&gt;0,1,0)</f>
        <v>0</v>
      </c>
      <c r="S3">
        <f>IF(SUMPRODUCT(('alle Dateien'!B:B=Bohrungen!B3)*('alle Dateien'!D:D="sch"))&gt;0,1,0)</f>
        <v>0</v>
      </c>
      <c r="U3" t="str">
        <f t="shared" si="0"/>
        <v>10000000000000000</v>
      </c>
      <c r="V3" t="str">
        <f>VLOOKUP(U3,Kategorie!B:C,2,FALSE)</f>
        <v>pdf</v>
      </c>
    </row>
    <row r="4" spans="1:22" x14ac:dyDescent="0.25">
      <c r="A4">
        <v>3</v>
      </c>
      <c r="B4" t="s">
        <v>2091</v>
      </c>
      <c r="C4" s="2">
        <f>IF(SUMPRODUCT(('alle Dateien'!B:B=Bohrungen!B4)*('alle Dateien'!D:D="pdf"))&gt;0,1,0)</f>
        <v>1</v>
      </c>
      <c r="D4">
        <f>IF(SUMPRODUCT(('alle Dateien'!B:B=Bohrungen!B4)*('alle Dateien'!D:D="tif"))&gt;0,1,0)</f>
        <v>0</v>
      </c>
      <c r="E4">
        <f>IF(SUMPRODUCT(('alle Dateien'!B:B=Bohrungen!B4)*('alle Dateien'!D:D="sdg"))&gt;0,1,0)</f>
        <v>0</v>
      </c>
      <c r="F4">
        <f>IF(SUMPRODUCT(('alle Dateien'!B:B=Bohrungen!B4)*('alle Dateien'!D:D="xlsx"))&gt;0,1,0)</f>
        <v>0</v>
      </c>
      <c r="G4">
        <f>IF(SUMPRODUCT(('alle Dateien'!B:B=Bohrungen!B4)*('alle Dateien'!D:D="docx"))&gt;0,1,0)</f>
        <v>0</v>
      </c>
      <c r="H4">
        <f>IF(SUMPRODUCT(('alle Dateien'!B:B=Bohrungen!B4)*('alle Dateien'!D:D="las"))&gt;0,1,0)</f>
        <v>0</v>
      </c>
      <c r="I4">
        <f>IF(SUMPRODUCT(('alle Dateien'!B:B=Bohrungen!B4)*('alle Dateien'!D:D="db"))&gt;0,1,0)</f>
        <v>0</v>
      </c>
      <c r="J4">
        <f>IF(SUMPRODUCT(('alle Dateien'!B:B=Bohrungen!B4)*('alle Dateien'!D:D="rhistory"))&gt;0,1,0)</f>
        <v>0</v>
      </c>
      <c r="K4">
        <f>IF(SUMPRODUCT(('alle Dateien'!B:B=Bohrungen!B4)*('alle Dateien'!D:D="mdb"))&gt;0,1,0)</f>
        <v>0</v>
      </c>
      <c r="L4">
        <f>IF(SUMPRODUCT(('alle Dateien'!B:B=Bohrungen!B4)*('alle Dateien'!D:D="xml"))&gt;0,1,0)</f>
        <v>0</v>
      </c>
      <c r="M4">
        <f>IF(SUMPRODUCT(('alle Dateien'!B:B=Bohrungen!B4)*('alle Dateien'!D:D="jpg"))&gt;0,1,0)</f>
        <v>0</v>
      </c>
      <c r="N4">
        <f>IF(SUMPRODUCT(('alle Dateien'!B:B=Bohrungen!B4)*('alle Dateien'!D:D="png"))&gt;0,1,0)</f>
        <v>0</v>
      </c>
      <c r="O4">
        <f>IF(SUMPRODUCT(('alle Dateien'!B:B=Bohrungen!B4)*('alle Dateien'!D:D="xls"))&gt;0,1,0)</f>
        <v>0</v>
      </c>
      <c r="P4">
        <f>IF(SUMPRODUCT(('alle Dateien'!B:B=Bohrungen!B4)*('alle Dateien'!D:D="txt"))&gt;0,1,0)</f>
        <v>0</v>
      </c>
      <c r="Q4">
        <f>IF(SUMPRODUCT(('alle Dateien'!B:B=Bohrungen!B4)*('alle Dateien'!D:D="ZIP oder R"))&gt;0,1,0)</f>
        <v>0</v>
      </c>
      <c r="R4">
        <f>IF(SUMPRODUCT(('alle Dateien'!B:B=Bohrungen!B4)*('alle Dateien'!D:D="tsf"))&gt;0,1,0)</f>
        <v>0</v>
      </c>
      <c r="S4">
        <f>IF(SUMPRODUCT(('alle Dateien'!B:B=Bohrungen!B4)*('alle Dateien'!D:D="sch"))&gt;0,1,0)</f>
        <v>0</v>
      </c>
      <c r="U4" t="str">
        <f t="shared" si="0"/>
        <v>10000000000000000</v>
      </c>
      <c r="V4" t="str">
        <f>VLOOKUP(U4,Kategorie!B:C,2,FALSE)</f>
        <v>pdf</v>
      </c>
    </row>
    <row r="5" spans="1:22" x14ac:dyDescent="0.25">
      <c r="A5">
        <v>4</v>
      </c>
      <c r="B5" t="s">
        <v>2092</v>
      </c>
      <c r="C5" s="2">
        <f>IF(SUMPRODUCT(('alle Dateien'!B:B=Bohrungen!B5)*('alle Dateien'!D:D="pdf"))&gt;0,1,0)</f>
        <v>1</v>
      </c>
      <c r="D5">
        <f>IF(SUMPRODUCT(('alle Dateien'!B:B=Bohrungen!B5)*('alle Dateien'!D:D="tif"))&gt;0,1,0)</f>
        <v>0</v>
      </c>
      <c r="E5">
        <f>IF(SUMPRODUCT(('alle Dateien'!B:B=Bohrungen!B5)*('alle Dateien'!D:D="sdg"))&gt;0,1,0)</f>
        <v>0</v>
      </c>
      <c r="F5">
        <f>IF(SUMPRODUCT(('alle Dateien'!B:B=Bohrungen!B5)*('alle Dateien'!D:D="xlsx"))&gt;0,1,0)</f>
        <v>0</v>
      </c>
      <c r="G5">
        <f>IF(SUMPRODUCT(('alle Dateien'!B:B=Bohrungen!B5)*('alle Dateien'!D:D="docx"))&gt;0,1,0)</f>
        <v>0</v>
      </c>
      <c r="H5">
        <f>IF(SUMPRODUCT(('alle Dateien'!B:B=Bohrungen!B5)*('alle Dateien'!D:D="las"))&gt;0,1,0)</f>
        <v>0</v>
      </c>
      <c r="I5">
        <f>IF(SUMPRODUCT(('alle Dateien'!B:B=Bohrungen!B5)*('alle Dateien'!D:D="db"))&gt;0,1,0)</f>
        <v>0</v>
      </c>
      <c r="J5">
        <f>IF(SUMPRODUCT(('alle Dateien'!B:B=Bohrungen!B5)*('alle Dateien'!D:D="rhistory"))&gt;0,1,0)</f>
        <v>0</v>
      </c>
      <c r="K5">
        <f>IF(SUMPRODUCT(('alle Dateien'!B:B=Bohrungen!B5)*('alle Dateien'!D:D="mdb"))&gt;0,1,0)</f>
        <v>0</v>
      </c>
      <c r="L5">
        <f>IF(SUMPRODUCT(('alle Dateien'!B:B=Bohrungen!B5)*('alle Dateien'!D:D="xml"))&gt;0,1,0)</f>
        <v>0</v>
      </c>
      <c r="M5">
        <f>IF(SUMPRODUCT(('alle Dateien'!B:B=Bohrungen!B5)*('alle Dateien'!D:D="jpg"))&gt;0,1,0)</f>
        <v>0</v>
      </c>
      <c r="N5">
        <f>IF(SUMPRODUCT(('alle Dateien'!B:B=Bohrungen!B5)*('alle Dateien'!D:D="png"))&gt;0,1,0)</f>
        <v>0</v>
      </c>
      <c r="O5">
        <f>IF(SUMPRODUCT(('alle Dateien'!B:B=Bohrungen!B5)*('alle Dateien'!D:D="xls"))&gt;0,1,0)</f>
        <v>0</v>
      </c>
      <c r="P5">
        <f>IF(SUMPRODUCT(('alle Dateien'!B:B=Bohrungen!B5)*('alle Dateien'!D:D="txt"))&gt;0,1,0)</f>
        <v>0</v>
      </c>
      <c r="Q5">
        <f>IF(SUMPRODUCT(('alle Dateien'!B:B=Bohrungen!B5)*('alle Dateien'!D:D="ZIP oder R"))&gt;0,1,0)</f>
        <v>0</v>
      </c>
      <c r="R5">
        <f>IF(SUMPRODUCT(('alle Dateien'!B:B=Bohrungen!B5)*('alle Dateien'!D:D="tsf"))&gt;0,1,0)</f>
        <v>0</v>
      </c>
      <c r="S5">
        <f>IF(SUMPRODUCT(('alle Dateien'!B:B=Bohrungen!B5)*('alle Dateien'!D:D="sch"))&gt;0,1,0)</f>
        <v>0</v>
      </c>
      <c r="U5" t="str">
        <f t="shared" si="0"/>
        <v>10000000000000000</v>
      </c>
      <c r="V5" t="str">
        <f>VLOOKUP(U5,Kategorie!B:C,2,FALSE)</f>
        <v>pdf</v>
      </c>
    </row>
    <row r="6" spans="1:22" x14ac:dyDescent="0.25">
      <c r="A6">
        <v>5</v>
      </c>
      <c r="B6" t="s">
        <v>2093</v>
      </c>
      <c r="C6" s="2">
        <f>IF(SUMPRODUCT(('alle Dateien'!B:B=Bohrungen!B6)*('alle Dateien'!D:D="pdf"))&gt;0,1,0)</f>
        <v>1</v>
      </c>
      <c r="D6">
        <f>IF(SUMPRODUCT(('alle Dateien'!B:B=Bohrungen!B6)*('alle Dateien'!D:D="tif"))&gt;0,1,0)</f>
        <v>0</v>
      </c>
      <c r="E6">
        <f>IF(SUMPRODUCT(('alle Dateien'!B:B=Bohrungen!B6)*('alle Dateien'!D:D="sdg"))&gt;0,1,0)</f>
        <v>0</v>
      </c>
      <c r="F6">
        <f>IF(SUMPRODUCT(('alle Dateien'!B:B=Bohrungen!B6)*('alle Dateien'!D:D="xlsx"))&gt;0,1,0)</f>
        <v>0</v>
      </c>
      <c r="G6">
        <f>IF(SUMPRODUCT(('alle Dateien'!B:B=Bohrungen!B6)*('alle Dateien'!D:D="docx"))&gt;0,1,0)</f>
        <v>0</v>
      </c>
      <c r="H6">
        <f>IF(SUMPRODUCT(('alle Dateien'!B:B=Bohrungen!B6)*('alle Dateien'!D:D="las"))&gt;0,1,0)</f>
        <v>0</v>
      </c>
      <c r="I6">
        <f>IF(SUMPRODUCT(('alle Dateien'!B:B=Bohrungen!B6)*('alle Dateien'!D:D="db"))&gt;0,1,0)</f>
        <v>0</v>
      </c>
      <c r="J6">
        <f>IF(SUMPRODUCT(('alle Dateien'!B:B=Bohrungen!B6)*('alle Dateien'!D:D="rhistory"))&gt;0,1,0)</f>
        <v>0</v>
      </c>
      <c r="K6">
        <f>IF(SUMPRODUCT(('alle Dateien'!B:B=Bohrungen!B6)*('alle Dateien'!D:D="mdb"))&gt;0,1,0)</f>
        <v>0</v>
      </c>
      <c r="L6">
        <f>IF(SUMPRODUCT(('alle Dateien'!B:B=Bohrungen!B6)*('alle Dateien'!D:D="xml"))&gt;0,1,0)</f>
        <v>0</v>
      </c>
      <c r="M6">
        <f>IF(SUMPRODUCT(('alle Dateien'!B:B=Bohrungen!B6)*('alle Dateien'!D:D="jpg"))&gt;0,1,0)</f>
        <v>0</v>
      </c>
      <c r="N6">
        <f>IF(SUMPRODUCT(('alle Dateien'!B:B=Bohrungen!B6)*('alle Dateien'!D:D="png"))&gt;0,1,0)</f>
        <v>0</v>
      </c>
      <c r="O6">
        <f>IF(SUMPRODUCT(('alle Dateien'!B:B=Bohrungen!B6)*('alle Dateien'!D:D="xls"))&gt;0,1,0)</f>
        <v>0</v>
      </c>
      <c r="P6">
        <f>IF(SUMPRODUCT(('alle Dateien'!B:B=Bohrungen!B6)*('alle Dateien'!D:D="txt"))&gt;0,1,0)</f>
        <v>0</v>
      </c>
      <c r="Q6">
        <f>IF(SUMPRODUCT(('alle Dateien'!B:B=Bohrungen!B6)*('alle Dateien'!D:D="ZIP oder R"))&gt;0,1,0)</f>
        <v>0</v>
      </c>
      <c r="R6">
        <f>IF(SUMPRODUCT(('alle Dateien'!B:B=Bohrungen!B6)*('alle Dateien'!D:D="tsf"))&gt;0,1,0)</f>
        <v>0</v>
      </c>
      <c r="S6">
        <f>IF(SUMPRODUCT(('alle Dateien'!B:B=Bohrungen!B6)*('alle Dateien'!D:D="sch"))&gt;0,1,0)</f>
        <v>0</v>
      </c>
      <c r="U6" t="str">
        <f t="shared" si="0"/>
        <v>10000000000000000</v>
      </c>
      <c r="V6" t="str">
        <f>VLOOKUP(U6,Kategorie!B:C,2,FALSE)</f>
        <v>pdf</v>
      </c>
    </row>
    <row r="7" spans="1:22" x14ac:dyDescent="0.25">
      <c r="A7">
        <v>6</v>
      </c>
      <c r="B7" t="s">
        <v>2094</v>
      </c>
      <c r="C7" s="2">
        <f>IF(SUMPRODUCT(('alle Dateien'!B:B=Bohrungen!B7)*('alle Dateien'!D:D="pdf"))&gt;0,1,0)</f>
        <v>1</v>
      </c>
      <c r="D7">
        <f>IF(SUMPRODUCT(('alle Dateien'!B:B=Bohrungen!B7)*('alle Dateien'!D:D="tif"))&gt;0,1,0)</f>
        <v>0</v>
      </c>
      <c r="E7">
        <f>IF(SUMPRODUCT(('alle Dateien'!B:B=Bohrungen!B7)*('alle Dateien'!D:D="sdg"))&gt;0,1,0)</f>
        <v>0</v>
      </c>
      <c r="F7">
        <f>IF(SUMPRODUCT(('alle Dateien'!B:B=Bohrungen!B7)*('alle Dateien'!D:D="xlsx"))&gt;0,1,0)</f>
        <v>0</v>
      </c>
      <c r="G7">
        <f>IF(SUMPRODUCT(('alle Dateien'!B:B=Bohrungen!B7)*('alle Dateien'!D:D="docx"))&gt;0,1,0)</f>
        <v>0</v>
      </c>
      <c r="H7">
        <f>IF(SUMPRODUCT(('alle Dateien'!B:B=Bohrungen!B7)*('alle Dateien'!D:D="las"))&gt;0,1,0)</f>
        <v>0</v>
      </c>
      <c r="I7">
        <f>IF(SUMPRODUCT(('alle Dateien'!B:B=Bohrungen!B7)*('alle Dateien'!D:D="db"))&gt;0,1,0)</f>
        <v>0</v>
      </c>
      <c r="J7">
        <f>IF(SUMPRODUCT(('alle Dateien'!B:B=Bohrungen!B7)*('alle Dateien'!D:D="rhistory"))&gt;0,1,0)</f>
        <v>0</v>
      </c>
      <c r="K7">
        <f>IF(SUMPRODUCT(('alle Dateien'!B:B=Bohrungen!B7)*('alle Dateien'!D:D="mdb"))&gt;0,1,0)</f>
        <v>0</v>
      </c>
      <c r="L7">
        <f>IF(SUMPRODUCT(('alle Dateien'!B:B=Bohrungen!B7)*('alle Dateien'!D:D="xml"))&gt;0,1,0)</f>
        <v>0</v>
      </c>
      <c r="M7">
        <f>IF(SUMPRODUCT(('alle Dateien'!B:B=Bohrungen!B7)*('alle Dateien'!D:D="jpg"))&gt;0,1,0)</f>
        <v>0</v>
      </c>
      <c r="N7">
        <f>IF(SUMPRODUCT(('alle Dateien'!B:B=Bohrungen!B7)*('alle Dateien'!D:D="png"))&gt;0,1,0)</f>
        <v>0</v>
      </c>
      <c r="O7">
        <f>IF(SUMPRODUCT(('alle Dateien'!B:B=Bohrungen!B7)*('alle Dateien'!D:D="xls"))&gt;0,1,0)</f>
        <v>0</v>
      </c>
      <c r="P7">
        <f>IF(SUMPRODUCT(('alle Dateien'!B:B=Bohrungen!B7)*('alle Dateien'!D:D="txt"))&gt;0,1,0)</f>
        <v>0</v>
      </c>
      <c r="Q7">
        <f>IF(SUMPRODUCT(('alle Dateien'!B:B=Bohrungen!B7)*('alle Dateien'!D:D="ZIP oder R"))&gt;0,1,0)</f>
        <v>0</v>
      </c>
      <c r="R7">
        <f>IF(SUMPRODUCT(('alle Dateien'!B:B=Bohrungen!B7)*('alle Dateien'!D:D="tsf"))&gt;0,1,0)</f>
        <v>0</v>
      </c>
      <c r="S7">
        <f>IF(SUMPRODUCT(('alle Dateien'!B:B=Bohrungen!B7)*('alle Dateien'!D:D="sch"))&gt;0,1,0)</f>
        <v>0</v>
      </c>
      <c r="U7" t="str">
        <f t="shared" si="0"/>
        <v>10000000000000000</v>
      </c>
      <c r="V7" t="str">
        <f>VLOOKUP(U7,Kategorie!B:C,2,FALSE)</f>
        <v>pdf</v>
      </c>
    </row>
    <row r="8" spans="1:22" x14ac:dyDescent="0.25">
      <c r="A8">
        <v>7</v>
      </c>
      <c r="B8" t="s">
        <v>2095</v>
      </c>
      <c r="C8" s="2">
        <f>IF(SUMPRODUCT(('alle Dateien'!B:B=Bohrungen!B8)*('alle Dateien'!D:D="pdf"))&gt;0,1,0)</f>
        <v>1</v>
      </c>
      <c r="D8">
        <f>IF(SUMPRODUCT(('alle Dateien'!B:B=Bohrungen!B8)*('alle Dateien'!D:D="tif"))&gt;0,1,0)</f>
        <v>1</v>
      </c>
      <c r="E8">
        <f>IF(SUMPRODUCT(('alle Dateien'!B:B=Bohrungen!B8)*('alle Dateien'!D:D="sdg"))&gt;0,1,0)</f>
        <v>1</v>
      </c>
      <c r="F8">
        <f>IF(SUMPRODUCT(('alle Dateien'!B:B=Bohrungen!B8)*('alle Dateien'!D:D="xlsx"))&gt;0,1,0)</f>
        <v>1</v>
      </c>
      <c r="G8">
        <f>IF(SUMPRODUCT(('alle Dateien'!B:B=Bohrungen!B8)*('alle Dateien'!D:D="docx"))&gt;0,1,0)</f>
        <v>1</v>
      </c>
      <c r="H8">
        <f>IF(SUMPRODUCT(('alle Dateien'!B:B=Bohrungen!B8)*('alle Dateien'!D:D="las"))&gt;0,1,0)</f>
        <v>1</v>
      </c>
      <c r="I8">
        <f>IF(SUMPRODUCT(('alle Dateien'!B:B=Bohrungen!B8)*('alle Dateien'!D:D="db"))&gt;0,1,0)</f>
        <v>1</v>
      </c>
      <c r="J8">
        <f>IF(SUMPRODUCT(('alle Dateien'!B:B=Bohrungen!B8)*('alle Dateien'!D:D="rhistory"))&gt;0,1,0)</f>
        <v>0</v>
      </c>
      <c r="K8">
        <f>IF(SUMPRODUCT(('alle Dateien'!B:B=Bohrungen!B8)*('alle Dateien'!D:D="mdb"))&gt;0,1,0)</f>
        <v>0</v>
      </c>
      <c r="L8">
        <f>IF(SUMPRODUCT(('alle Dateien'!B:B=Bohrungen!B8)*('alle Dateien'!D:D="xml"))&gt;0,1,0)</f>
        <v>0</v>
      </c>
      <c r="M8">
        <f>IF(SUMPRODUCT(('alle Dateien'!B:B=Bohrungen!B8)*('alle Dateien'!D:D="jpg"))&gt;0,1,0)</f>
        <v>0</v>
      </c>
      <c r="N8">
        <f>IF(SUMPRODUCT(('alle Dateien'!B:B=Bohrungen!B8)*('alle Dateien'!D:D="png"))&gt;0,1,0)</f>
        <v>0</v>
      </c>
      <c r="O8">
        <f>IF(SUMPRODUCT(('alle Dateien'!B:B=Bohrungen!B8)*('alle Dateien'!D:D="xls"))&gt;0,1,0)</f>
        <v>0</v>
      </c>
      <c r="P8">
        <f>IF(SUMPRODUCT(('alle Dateien'!B:B=Bohrungen!B8)*('alle Dateien'!D:D="txt"))&gt;0,1,0)</f>
        <v>0</v>
      </c>
      <c r="Q8">
        <f>IF(SUMPRODUCT(('alle Dateien'!B:B=Bohrungen!B8)*('alle Dateien'!D:D="ZIP oder R"))&gt;0,1,0)</f>
        <v>0</v>
      </c>
      <c r="R8">
        <f>IF(SUMPRODUCT(('alle Dateien'!B:B=Bohrungen!B8)*('alle Dateien'!D:D="tsf"))&gt;0,1,0)</f>
        <v>0</v>
      </c>
      <c r="S8">
        <f>IF(SUMPRODUCT(('alle Dateien'!B:B=Bohrungen!B8)*('alle Dateien'!D:D="sch"))&gt;0,1,0)</f>
        <v>0</v>
      </c>
      <c r="U8" t="str">
        <f t="shared" si="0"/>
        <v>11111110000000000</v>
      </c>
      <c r="V8" t="str">
        <f>VLOOKUP(U8,Kategorie!B:C,2,FALSE)</f>
        <v>pdf/ tif/ sdg/ xlsx/ docx/ las/ db</v>
      </c>
    </row>
    <row r="9" spans="1:22" x14ac:dyDescent="0.25">
      <c r="A9">
        <v>8</v>
      </c>
      <c r="B9" t="s">
        <v>2096</v>
      </c>
      <c r="C9" s="2">
        <f>IF(SUMPRODUCT(('alle Dateien'!B:B=Bohrungen!B9)*('alle Dateien'!D:D="pdf"))&gt;0,1,0)</f>
        <v>1</v>
      </c>
      <c r="D9">
        <f>IF(SUMPRODUCT(('alle Dateien'!B:B=Bohrungen!B9)*('alle Dateien'!D:D="tif"))&gt;0,1,0)</f>
        <v>0</v>
      </c>
      <c r="E9">
        <f>IF(SUMPRODUCT(('alle Dateien'!B:B=Bohrungen!B9)*('alle Dateien'!D:D="sdg"))&gt;0,1,0)</f>
        <v>0</v>
      </c>
      <c r="F9">
        <f>IF(SUMPRODUCT(('alle Dateien'!B:B=Bohrungen!B9)*('alle Dateien'!D:D="xlsx"))&gt;0,1,0)</f>
        <v>0</v>
      </c>
      <c r="G9">
        <f>IF(SUMPRODUCT(('alle Dateien'!B:B=Bohrungen!B9)*('alle Dateien'!D:D="docx"))&gt;0,1,0)</f>
        <v>0</v>
      </c>
      <c r="H9">
        <f>IF(SUMPRODUCT(('alle Dateien'!B:B=Bohrungen!B9)*('alle Dateien'!D:D="las"))&gt;0,1,0)</f>
        <v>0</v>
      </c>
      <c r="I9">
        <f>IF(SUMPRODUCT(('alle Dateien'!B:B=Bohrungen!B9)*('alle Dateien'!D:D="db"))&gt;0,1,0)</f>
        <v>0</v>
      </c>
      <c r="J9">
        <f>IF(SUMPRODUCT(('alle Dateien'!B:B=Bohrungen!B9)*('alle Dateien'!D:D="rhistory"))&gt;0,1,0)</f>
        <v>0</v>
      </c>
      <c r="K9">
        <f>IF(SUMPRODUCT(('alle Dateien'!B:B=Bohrungen!B9)*('alle Dateien'!D:D="mdb"))&gt;0,1,0)</f>
        <v>0</v>
      </c>
      <c r="L9">
        <f>IF(SUMPRODUCT(('alle Dateien'!B:B=Bohrungen!B9)*('alle Dateien'!D:D="xml"))&gt;0,1,0)</f>
        <v>0</v>
      </c>
      <c r="M9">
        <f>IF(SUMPRODUCT(('alle Dateien'!B:B=Bohrungen!B9)*('alle Dateien'!D:D="jpg"))&gt;0,1,0)</f>
        <v>0</v>
      </c>
      <c r="N9">
        <f>IF(SUMPRODUCT(('alle Dateien'!B:B=Bohrungen!B9)*('alle Dateien'!D:D="png"))&gt;0,1,0)</f>
        <v>0</v>
      </c>
      <c r="O9">
        <f>IF(SUMPRODUCT(('alle Dateien'!B:B=Bohrungen!B9)*('alle Dateien'!D:D="xls"))&gt;0,1,0)</f>
        <v>0</v>
      </c>
      <c r="P9">
        <f>IF(SUMPRODUCT(('alle Dateien'!B:B=Bohrungen!B9)*('alle Dateien'!D:D="txt"))&gt;0,1,0)</f>
        <v>0</v>
      </c>
      <c r="Q9">
        <f>IF(SUMPRODUCT(('alle Dateien'!B:B=Bohrungen!B9)*('alle Dateien'!D:D="ZIP oder R"))&gt;0,1,0)</f>
        <v>0</v>
      </c>
      <c r="R9">
        <f>IF(SUMPRODUCT(('alle Dateien'!B:B=Bohrungen!B9)*('alle Dateien'!D:D="tsf"))&gt;0,1,0)</f>
        <v>0</v>
      </c>
      <c r="S9">
        <f>IF(SUMPRODUCT(('alle Dateien'!B:B=Bohrungen!B9)*('alle Dateien'!D:D="sch"))&gt;0,1,0)</f>
        <v>0</v>
      </c>
      <c r="U9" t="str">
        <f t="shared" si="0"/>
        <v>10000000000000000</v>
      </c>
      <c r="V9" t="str">
        <f>VLOOKUP(U9,Kategorie!B:C,2,FALSE)</f>
        <v>pdf</v>
      </c>
    </row>
    <row r="10" spans="1:22" x14ac:dyDescent="0.25">
      <c r="A10">
        <v>9</v>
      </c>
      <c r="B10" t="s">
        <v>2097</v>
      </c>
      <c r="C10" s="2">
        <f>IF(SUMPRODUCT(('alle Dateien'!B:B=Bohrungen!B10)*('alle Dateien'!D:D="pdf"))&gt;0,1,0)</f>
        <v>1</v>
      </c>
      <c r="D10">
        <f>IF(SUMPRODUCT(('alle Dateien'!B:B=Bohrungen!B10)*('alle Dateien'!D:D="tif"))&gt;0,1,0)</f>
        <v>0</v>
      </c>
      <c r="E10">
        <f>IF(SUMPRODUCT(('alle Dateien'!B:B=Bohrungen!B10)*('alle Dateien'!D:D="sdg"))&gt;0,1,0)</f>
        <v>1</v>
      </c>
      <c r="F10">
        <f>IF(SUMPRODUCT(('alle Dateien'!B:B=Bohrungen!B10)*('alle Dateien'!D:D="xlsx"))&gt;0,1,0)</f>
        <v>1</v>
      </c>
      <c r="G10">
        <f>IF(SUMPRODUCT(('alle Dateien'!B:B=Bohrungen!B10)*('alle Dateien'!D:D="docx"))&gt;0,1,0)</f>
        <v>0</v>
      </c>
      <c r="H10">
        <f>IF(SUMPRODUCT(('alle Dateien'!B:B=Bohrungen!B10)*('alle Dateien'!D:D="las"))&gt;0,1,0)</f>
        <v>1</v>
      </c>
      <c r="I10">
        <f>IF(SUMPRODUCT(('alle Dateien'!B:B=Bohrungen!B10)*('alle Dateien'!D:D="db"))&gt;0,1,0)</f>
        <v>0</v>
      </c>
      <c r="J10">
        <f>IF(SUMPRODUCT(('alle Dateien'!B:B=Bohrungen!B10)*('alle Dateien'!D:D="rhistory"))&gt;0,1,0)</f>
        <v>1</v>
      </c>
      <c r="K10">
        <f>IF(SUMPRODUCT(('alle Dateien'!B:B=Bohrungen!B10)*('alle Dateien'!D:D="mdb"))&gt;0,1,0)</f>
        <v>0</v>
      </c>
      <c r="L10">
        <f>IF(SUMPRODUCT(('alle Dateien'!B:B=Bohrungen!B10)*('alle Dateien'!D:D="xml"))&gt;0,1,0)</f>
        <v>0</v>
      </c>
      <c r="M10">
        <f>IF(SUMPRODUCT(('alle Dateien'!B:B=Bohrungen!B10)*('alle Dateien'!D:D="jpg"))&gt;0,1,0)</f>
        <v>0</v>
      </c>
      <c r="N10">
        <f>IF(SUMPRODUCT(('alle Dateien'!B:B=Bohrungen!B10)*('alle Dateien'!D:D="png"))&gt;0,1,0)</f>
        <v>0</v>
      </c>
      <c r="O10">
        <f>IF(SUMPRODUCT(('alle Dateien'!B:B=Bohrungen!B10)*('alle Dateien'!D:D="xls"))&gt;0,1,0)</f>
        <v>0</v>
      </c>
      <c r="P10">
        <f>IF(SUMPRODUCT(('alle Dateien'!B:B=Bohrungen!B10)*('alle Dateien'!D:D="txt"))&gt;0,1,0)</f>
        <v>0</v>
      </c>
      <c r="Q10">
        <f>IF(SUMPRODUCT(('alle Dateien'!B:B=Bohrungen!B10)*('alle Dateien'!D:D="ZIP oder R"))&gt;0,1,0)</f>
        <v>0</v>
      </c>
      <c r="R10">
        <f>IF(SUMPRODUCT(('alle Dateien'!B:B=Bohrungen!B10)*('alle Dateien'!D:D="tsf"))&gt;0,1,0)</f>
        <v>0</v>
      </c>
      <c r="S10">
        <f>IF(SUMPRODUCT(('alle Dateien'!B:B=Bohrungen!B10)*('alle Dateien'!D:D="sch"))&gt;0,1,0)</f>
        <v>0</v>
      </c>
      <c r="U10" t="str">
        <f t="shared" si="0"/>
        <v>10110101000000000</v>
      </c>
      <c r="V10" t="str">
        <f>VLOOKUP(U10,Kategorie!B:C,2,FALSE)</f>
        <v>pdf/ sdg/ xlsx/ las/ rhistory</v>
      </c>
    </row>
    <row r="11" spans="1:22" x14ac:dyDescent="0.25">
      <c r="A11">
        <v>10</v>
      </c>
      <c r="B11" t="s">
        <v>2098</v>
      </c>
      <c r="C11" s="2">
        <f>IF(SUMPRODUCT(('alle Dateien'!B:B=Bohrungen!B11)*('alle Dateien'!D:D="pdf"))&gt;0,1,0)</f>
        <v>1</v>
      </c>
      <c r="D11">
        <f>IF(SUMPRODUCT(('alle Dateien'!B:B=Bohrungen!B11)*('alle Dateien'!D:D="tif"))&gt;0,1,0)</f>
        <v>0</v>
      </c>
      <c r="E11">
        <f>IF(SUMPRODUCT(('alle Dateien'!B:B=Bohrungen!B11)*('alle Dateien'!D:D="sdg"))&gt;0,1,0)</f>
        <v>0</v>
      </c>
      <c r="F11">
        <f>IF(SUMPRODUCT(('alle Dateien'!B:B=Bohrungen!B11)*('alle Dateien'!D:D="xlsx"))&gt;0,1,0)</f>
        <v>0</v>
      </c>
      <c r="G11">
        <f>IF(SUMPRODUCT(('alle Dateien'!B:B=Bohrungen!B11)*('alle Dateien'!D:D="docx"))&gt;0,1,0)</f>
        <v>0</v>
      </c>
      <c r="H11">
        <f>IF(SUMPRODUCT(('alle Dateien'!B:B=Bohrungen!B11)*('alle Dateien'!D:D="las"))&gt;0,1,0)</f>
        <v>0</v>
      </c>
      <c r="I11">
        <f>IF(SUMPRODUCT(('alle Dateien'!B:B=Bohrungen!B11)*('alle Dateien'!D:D="db"))&gt;0,1,0)</f>
        <v>0</v>
      </c>
      <c r="J11">
        <f>IF(SUMPRODUCT(('alle Dateien'!B:B=Bohrungen!B11)*('alle Dateien'!D:D="rhistory"))&gt;0,1,0)</f>
        <v>0</v>
      </c>
      <c r="K11">
        <f>IF(SUMPRODUCT(('alle Dateien'!B:B=Bohrungen!B11)*('alle Dateien'!D:D="mdb"))&gt;0,1,0)</f>
        <v>0</v>
      </c>
      <c r="L11">
        <f>IF(SUMPRODUCT(('alle Dateien'!B:B=Bohrungen!B11)*('alle Dateien'!D:D="xml"))&gt;0,1,0)</f>
        <v>0</v>
      </c>
      <c r="M11">
        <f>IF(SUMPRODUCT(('alle Dateien'!B:B=Bohrungen!B11)*('alle Dateien'!D:D="jpg"))&gt;0,1,0)</f>
        <v>0</v>
      </c>
      <c r="N11">
        <f>IF(SUMPRODUCT(('alle Dateien'!B:B=Bohrungen!B11)*('alle Dateien'!D:D="png"))&gt;0,1,0)</f>
        <v>0</v>
      </c>
      <c r="O11">
        <f>IF(SUMPRODUCT(('alle Dateien'!B:B=Bohrungen!B11)*('alle Dateien'!D:D="xls"))&gt;0,1,0)</f>
        <v>0</v>
      </c>
      <c r="P11">
        <f>IF(SUMPRODUCT(('alle Dateien'!B:B=Bohrungen!B11)*('alle Dateien'!D:D="txt"))&gt;0,1,0)</f>
        <v>0</v>
      </c>
      <c r="Q11">
        <f>IF(SUMPRODUCT(('alle Dateien'!B:B=Bohrungen!B11)*('alle Dateien'!D:D="ZIP oder R"))&gt;0,1,0)</f>
        <v>0</v>
      </c>
      <c r="R11">
        <f>IF(SUMPRODUCT(('alle Dateien'!B:B=Bohrungen!B11)*('alle Dateien'!D:D="tsf"))&gt;0,1,0)</f>
        <v>0</v>
      </c>
      <c r="S11">
        <f>IF(SUMPRODUCT(('alle Dateien'!B:B=Bohrungen!B11)*('alle Dateien'!D:D="sch"))&gt;0,1,0)</f>
        <v>0</v>
      </c>
      <c r="U11" t="str">
        <f t="shared" si="0"/>
        <v>10000000000000000</v>
      </c>
      <c r="V11" t="str">
        <f>VLOOKUP(U11,Kategorie!B:C,2,FALSE)</f>
        <v>pdf</v>
      </c>
    </row>
    <row r="12" spans="1:22" x14ac:dyDescent="0.25">
      <c r="A12">
        <v>11</v>
      </c>
      <c r="B12" t="s">
        <v>2099</v>
      </c>
      <c r="C12" s="2">
        <f>IF(SUMPRODUCT(('alle Dateien'!B:B=Bohrungen!B12)*('alle Dateien'!D:D="pdf"))&gt;0,1,0)</f>
        <v>1</v>
      </c>
      <c r="D12">
        <f>IF(SUMPRODUCT(('alle Dateien'!B:B=Bohrungen!B12)*('alle Dateien'!D:D="tif"))&gt;0,1,0)</f>
        <v>0</v>
      </c>
      <c r="E12">
        <f>IF(SUMPRODUCT(('alle Dateien'!B:B=Bohrungen!B12)*('alle Dateien'!D:D="sdg"))&gt;0,1,0)</f>
        <v>0</v>
      </c>
      <c r="F12">
        <f>IF(SUMPRODUCT(('alle Dateien'!B:B=Bohrungen!B12)*('alle Dateien'!D:D="xlsx"))&gt;0,1,0)</f>
        <v>0</v>
      </c>
      <c r="G12">
        <f>IF(SUMPRODUCT(('alle Dateien'!B:B=Bohrungen!B12)*('alle Dateien'!D:D="docx"))&gt;0,1,0)</f>
        <v>0</v>
      </c>
      <c r="H12">
        <f>IF(SUMPRODUCT(('alle Dateien'!B:B=Bohrungen!B12)*('alle Dateien'!D:D="las"))&gt;0,1,0)</f>
        <v>0</v>
      </c>
      <c r="I12">
        <f>IF(SUMPRODUCT(('alle Dateien'!B:B=Bohrungen!B12)*('alle Dateien'!D:D="db"))&gt;0,1,0)</f>
        <v>0</v>
      </c>
      <c r="J12">
        <f>IF(SUMPRODUCT(('alle Dateien'!B:B=Bohrungen!B12)*('alle Dateien'!D:D="rhistory"))&gt;0,1,0)</f>
        <v>0</v>
      </c>
      <c r="K12">
        <f>IF(SUMPRODUCT(('alle Dateien'!B:B=Bohrungen!B12)*('alle Dateien'!D:D="mdb"))&gt;0,1,0)</f>
        <v>0</v>
      </c>
      <c r="L12">
        <f>IF(SUMPRODUCT(('alle Dateien'!B:B=Bohrungen!B12)*('alle Dateien'!D:D="xml"))&gt;0,1,0)</f>
        <v>0</v>
      </c>
      <c r="M12">
        <f>IF(SUMPRODUCT(('alle Dateien'!B:B=Bohrungen!B12)*('alle Dateien'!D:D="jpg"))&gt;0,1,0)</f>
        <v>0</v>
      </c>
      <c r="N12">
        <f>IF(SUMPRODUCT(('alle Dateien'!B:B=Bohrungen!B12)*('alle Dateien'!D:D="png"))&gt;0,1,0)</f>
        <v>0</v>
      </c>
      <c r="O12">
        <f>IF(SUMPRODUCT(('alle Dateien'!B:B=Bohrungen!B12)*('alle Dateien'!D:D="xls"))&gt;0,1,0)</f>
        <v>0</v>
      </c>
      <c r="P12">
        <f>IF(SUMPRODUCT(('alle Dateien'!B:B=Bohrungen!B12)*('alle Dateien'!D:D="txt"))&gt;0,1,0)</f>
        <v>0</v>
      </c>
      <c r="Q12">
        <f>IF(SUMPRODUCT(('alle Dateien'!B:B=Bohrungen!B12)*('alle Dateien'!D:D="ZIP oder R"))&gt;0,1,0)</f>
        <v>0</v>
      </c>
      <c r="R12">
        <f>IF(SUMPRODUCT(('alle Dateien'!B:B=Bohrungen!B12)*('alle Dateien'!D:D="tsf"))&gt;0,1,0)</f>
        <v>0</v>
      </c>
      <c r="S12">
        <f>IF(SUMPRODUCT(('alle Dateien'!B:B=Bohrungen!B12)*('alle Dateien'!D:D="sch"))&gt;0,1,0)</f>
        <v>0</v>
      </c>
      <c r="U12" t="str">
        <f t="shared" si="0"/>
        <v>10000000000000000</v>
      </c>
      <c r="V12" t="str">
        <f>VLOOKUP(U12,Kategorie!B:C,2,FALSE)</f>
        <v>pdf</v>
      </c>
    </row>
    <row r="13" spans="1:22" x14ac:dyDescent="0.25">
      <c r="A13">
        <v>12</v>
      </c>
      <c r="B13" t="s">
        <v>2100</v>
      </c>
      <c r="C13" s="2">
        <f>IF(SUMPRODUCT(('alle Dateien'!B:B=Bohrungen!B13)*('alle Dateien'!D:D="pdf"))&gt;0,1,0)</f>
        <v>0</v>
      </c>
      <c r="D13">
        <f>IF(SUMPRODUCT(('alle Dateien'!B:B=Bohrungen!B13)*('alle Dateien'!D:D="tif"))&gt;0,1,0)</f>
        <v>0</v>
      </c>
      <c r="E13">
        <f>IF(SUMPRODUCT(('alle Dateien'!B:B=Bohrungen!B13)*('alle Dateien'!D:D="sdg"))&gt;0,1,0)</f>
        <v>1</v>
      </c>
      <c r="F13">
        <f>IF(SUMPRODUCT(('alle Dateien'!B:B=Bohrungen!B13)*('alle Dateien'!D:D="xlsx"))&gt;0,1,0)</f>
        <v>1</v>
      </c>
      <c r="G13">
        <f>IF(SUMPRODUCT(('alle Dateien'!B:B=Bohrungen!B13)*('alle Dateien'!D:D="docx"))&gt;0,1,0)</f>
        <v>0</v>
      </c>
      <c r="H13">
        <f>IF(SUMPRODUCT(('alle Dateien'!B:B=Bohrungen!B13)*('alle Dateien'!D:D="las"))&gt;0,1,0)</f>
        <v>1</v>
      </c>
      <c r="I13">
        <f>IF(SUMPRODUCT(('alle Dateien'!B:B=Bohrungen!B13)*('alle Dateien'!D:D="db"))&gt;0,1,0)</f>
        <v>0</v>
      </c>
      <c r="J13">
        <f>IF(SUMPRODUCT(('alle Dateien'!B:B=Bohrungen!B13)*('alle Dateien'!D:D="rhistory"))&gt;0,1,0)</f>
        <v>0</v>
      </c>
      <c r="K13">
        <f>IF(SUMPRODUCT(('alle Dateien'!B:B=Bohrungen!B13)*('alle Dateien'!D:D="mdb"))&gt;0,1,0)</f>
        <v>0</v>
      </c>
      <c r="L13">
        <f>IF(SUMPRODUCT(('alle Dateien'!B:B=Bohrungen!B13)*('alle Dateien'!D:D="xml"))&gt;0,1,0)</f>
        <v>0</v>
      </c>
      <c r="M13">
        <f>IF(SUMPRODUCT(('alle Dateien'!B:B=Bohrungen!B13)*('alle Dateien'!D:D="jpg"))&gt;0,1,0)</f>
        <v>0</v>
      </c>
      <c r="N13">
        <f>IF(SUMPRODUCT(('alle Dateien'!B:B=Bohrungen!B13)*('alle Dateien'!D:D="png"))&gt;0,1,0)</f>
        <v>0</v>
      </c>
      <c r="O13">
        <f>IF(SUMPRODUCT(('alle Dateien'!B:B=Bohrungen!B13)*('alle Dateien'!D:D="xls"))&gt;0,1,0)</f>
        <v>0</v>
      </c>
      <c r="P13">
        <f>IF(SUMPRODUCT(('alle Dateien'!B:B=Bohrungen!B13)*('alle Dateien'!D:D="txt"))&gt;0,1,0)</f>
        <v>0</v>
      </c>
      <c r="Q13">
        <f>IF(SUMPRODUCT(('alle Dateien'!B:B=Bohrungen!B13)*('alle Dateien'!D:D="ZIP oder R"))&gt;0,1,0)</f>
        <v>0</v>
      </c>
      <c r="R13">
        <f>IF(SUMPRODUCT(('alle Dateien'!B:B=Bohrungen!B13)*('alle Dateien'!D:D="tsf"))&gt;0,1,0)</f>
        <v>0</v>
      </c>
      <c r="S13">
        <f>IF(SUMPRODUCT(('alle Dateien'!B:B=Bohrungen!B13)*('alle Dateien'!D:D="sch"))&gt;0,1,0)</f>
        <v>0</v>
      </c>
      <c r="U13" t="str">
        <f t="shared" si="0"/>
        <v>00110100000000000</v>
      </c>
      <c r="V13" t="str">
        <f>VLOOKUP(U13,Kategorie!B:C,2,FALSE)</f>
        <v>sdg/ xlsx/ las</v>
      </c>
    </row>
    <row r="14" spans="1:22" x14ac:dyDescent="0.25">
      <c r="A14">
        <v>13</v>
      </c>
      <c r="B14" t="s">
        <v>2101</v>
      </c>
      <c r="C14" s="2">
        <f>IF(SUMPRODUCT(('alle Dateien'!B:B=Bohrungen!B14)*('alle Dateien'!D:D="pdf"))&gt;0,1,0)</f>
        <v>1</v>
      </c>
      <c r="D14">
        <f>IF(SUMPRODUCT(('alle Dateien'!B:B=Bohrungen!B14)*('alle Dateien'!D:D="tif"))&gt;0,1,0)</f>
        <v>1</v>
      </c>
      <c r="E14">
        <f>IF(SUMPRODUCT(('alle Dateien'!B:B=Bohrungen!B14)*('alle Dateien'!D:D="sdg"))&gt;0,1,0)</f>
        <v>0</v>
      </c>
      <c r="F14">
        <f>IF(SUMPRODUCT(('alle Dateien'!B:B=Bohrungen!B14)*('alle Dateien'!D:D="xlsx"))&gt;0,1,0)</f>
        <v>0</v>
      </c>
      <c r="G14">
        <f>IF(SUMPRODUCT(('alle Dateien'!B:B=Bohrungen!B14)*('alle Dateien'!D:D="docx"))&gt;0,1,0)</f>
        <v>0</v>
      </c>
      <c r="H14">
        <f>IF(SUMPRODUCT(('alle Dateien'!B:B=Bohrungen!B14)*('alle Dateien'!D:D="las"))&gt;0,1,0)</f>
        <v>0</v>
      </c>
      <c r="I14">
        <f>IF(SUMPRODUCT(('alle Dateien'!B:B=Bohrungen!B14)*('alle Dateien'!D:D="db"))&gt;0,1,0)</f>
        <v>0</v>
      </c>
      <c r="J14">
        <f>IF(SUMPRODUCT(('alle Dateien'!B:B=Bohrungen!B14)*('alle Dateien'!D:D="rhistory"))&gt;0,1,0)</f>
        <v>0</v>
      </c>
      <c r="K14">
        <f>IF(SUMPRODUCT(('alle Dateien'!B:B=Bohrungen!B14)*('alle Dateien'!D:D="mdb"))&gt;0,1,0)</f>
        <v>0</v>
      </c>
      <c r="L14">
        <f>IF(SUMPRODUCT(('alle Dateien'!B:B=Bohrungen!B14)*('alle Dateien'!D:D="xml"))&gt;0,1,0)</f>
        <v>0</v>
      </c>
      <c r="M14">
        <f>IF(SUMPRODUCT(('alle Dateien'!B:B=Bohrungen!B14)*('alle Dateien'!D:D="jpg"))&gt;0,1,0)</f>
        <v>0</v>
      </c>
      <c r="N14">
        <f>IF(SUMPRODUCT(('alle Dateien'!B:B=Bohrungen!B14)*('alle Dateien'!D:D="png"))&gt;0,1,0)</f>
        <v>0</v>
      </c>
      <c r="O14">
        <f>IF(SUMPRODUCT(('alle Dateien'!B:B=Bohrungen!B14)*('alle Dateien'!D:D="xls"))&gt;0,1,0)</f>
        <v>0</v>
      </c>
      <c r="P14">
        <f>IF(SUMPRODUCT(('alle Dateien'!B:B=Bohrungen!B14)*('alle Dateien'!D:D="txt"))&gt;0,1,0)</f>
        <v>0</v>
      </c>
      <c r="Q14">
        <f>IF(SUMPRODUCT(('alle Dateien'!B:B=Bohrungen!B14)*('alle Dateien'!D:D="ZIP oder R"))&gt;0,1,0)</f>
        <v>0</v>
      </c>
      <c r="R14">
        <f>IF(SUMPRODUCT(('alle Dateien'!B:B=Bohrungen!B14)*('alle Dateien'!D:D="tsf"))&gt;0,1,0)</f>
        <v>0</v>
      </c>
      <c r="S14">
        <f>IF(SUMPRODUCT(('alle Dateien'!B:B=Bohrungen!B14)*('alle Dateien'!D:D="sch"))&gt;0,1,0)</f>
        <v>0</v>
      </c>
      <c r="U14" t="str">
        <f t="shared" si="0"/>
        <v>11000000000000000</v>
      </c>
      <c r="V14" t="str">
        <f>VLOOKUP(U14,Kategorie!B:C,2,FALSE)</f>
        <v>pdf/ tif</v>
      </c>
    </row>
    <row r="15" spans="1:22" x14ac:dyDescent="0.25">
      <c r="A15">
        <v>14</v>
      </c>
      <c r="B15" t="s">
        <v>2102</v>
      </c>
      <c r="C15" s="2">
        <f>IF(SUMPRODUCT(('alle Dateien'!B:B=Bohrungen!B15)*('alle Dateien'!D:D="pdf"))&gt;0,1,0)</f>
        <v>0</v>
      </c>
      <c r="D15">
        <f>IF(SUMPRODUCT(('alle Dateien'!B:B=Bohrungen!B15)*('alle Dateien'!D:D="tif"))&gt;0,1,0)</f>
        <v>0</v>
      </c>
      <c r="E15">
        <f>IF(SUMPRODUCT(('alle Dateien'!B:B=Bohrungen!B15)*('alle Dateien'!D:D="sdg"))&gt;0,1,0)</f>
        <v>1</v>
      </c>
      <c r="F15">
        <f>IF(SUMPRODUCT(('alle Dateien'!B:B=Bohrungen!B15)*('alle Dateien'!D:D="xlsx"))&gt;0,1,0)</f>
        <v>1</v>
      </c>
      <c r="G15">
        <f>IF(SUMPRODUCT(('alle Dateien'!B:B=Bohrungen!B15)*('alle Dateien'!D:D="docx"))&gt;0,1,0)</f>
        <v>0</v>
      </c>
      <c r="H15">
        <f>IF(SUMPRODUCT(('alle Dateien'!B:B=Bohrungen!B15)*('alle Dateien'!D:D="las"))&gt;0,1,0)</f>
        <v>1</v>
      </c>
      <c r="I15">
        <f>IF(SUMPRODUCT(('alle Dateien'!B:B=Bohrungen!B15)*('alle Dateien'!D:D="db"))&gt;0,1,0)</f>
        <v>0</v>
      </c>
      <c r="J15">
        <f>IF(SUMPRODUCT(('alle Dateien'!B:B=Bohrungen!B15)*('alle Dateien'!D:D="rhistory"))&gt;0,1,0)</f>
        <v>0</v>
      </c>
      <c r="K15">
        <f>IF(SUMPRODUCT(('alle Dateien'!B:B=Bohrungen!B15)*('alle Dateien'!D:D="mdb"))&gt;0,1,0)</f>
        <v>0</v>
      </c>
      <c r="L15">
        <f>IF(SUMPRODUCT(('alle Dateien'!B:B=Bohrungen!B15)*('alle Dateien'!D:D="xml"))&gt;0,1,0)</f>
        <v>0</v>
      </c>
      <c r="M15">
        <f>IF(SUMPRODUCT(('alle Dateien'!B:B=Bohrungen!B15)*('alle Dateien'!D:D="jpg"))&gt;0,1,0)</f>
        <v>0</v>
      </c>
      <c r="N15">
        <f>IF(SUMPRODUCT(('alle Dateien'!B:B=Bohrungen!B15)*('alle Dateien'!D:D="png"))&gt;0,1,0)</f>
        <v>0</v>
      </c>
      <c r="O15">
        <f>IF(SUMPRODUCT(('alle Dateien'!B:B=Bohrungen!B15)*('alle Dateien'!D:D="xls"))&gt;0,1,0)</f>
        <v>0</v>
      </c>
      <c r="P15">
        <f>IF(SUMPRODUCT(('alle Dateien'!B:B=Bohrungen!B15)*('alle Dateien'!D:D="txt"))&gt;0,1,0)</f>
        <v>0</v>
      </c>
      <c r="Q15">
        <f>IF(SUMPRODUCT(('alle Dateien'!B:B=Bohrungen!B15)*('alle Dateien'!D:D="ZIP oder R"))&gt;0,1,0)</f>
        <v>0</v>
      </c>
      <c r="R15">
        <f>IF(SUMPRODUCT(('alle Dateien'!B:B=Bohrungen!B15)*('alle Dateien'!D:D="tsf"))&gt;0,1,0)</f>
        <v>0</v>
      </c>
      <c r="S15">
        <f>IF(SUMPRODUCT(('alle Dateien'!B:B=Bohrungen!B15)*('alle Dateien'!D:D="sch"))&gt;0,1,0)</f>
        <v>0</v>
      </c>
      <c r="U15" t="str">
        <f t="shared" si="0"/>
        <v>00110100000000000</v>
      </c>
      <c r="V15" t="str">
        <f>VLOOKUP(U15,Kategorie!B:C,2,FALSE)</f>
        <v>sdg/ xlsx/ las</v>
      </c>
    </row>
    <row r="16" spans="1:22" x14ac:dyDescent="0.25">
      <c r="A16">
        <v>15</v>
      </c>
      <c r="B16" t="s">
        <v>2103</v>
      </c>
      <c r="C16" s="2">
        <f>IF(SUMPRODUCT(('alle Dateien'!B:B=Bohrungen!B16)*('alle Dateien'!D:D="pdf"))&gt;0,1,0)</f>
        <v>1</v>
      </c>
      <c r="D16">
        <f>IF(SUMPRODUCT(('alle Dateien'!B:B=Bohrungen!B16)*('alle Dateien'!D:D="tif"))&gt;0,1,0)</f>
        <v>0</v>
      </c>
      <c r="E16">
        <f>IF(SUMPRODUCT(('alle Dateien'!B:B=Bohrungen!B16)*('alle Dateien'!D:D="sdg"))&gt;0,1,0)</f>
        <v>1</v>
      </c>
      <c r="F16">
        <f>IF(SUMPRODUCT(('alle Dateien'!B:B=Bohrungen!B16)*('alle Dateien'!D:D="xlsx"))&gt;0,1,0)</f>
        <v>1</v>
      </c>
      <c r="G16">
        <f>IF(SUMPRODUCT(('alle Dateien'!B:B=Bohrungen!B16)*('alle Dateien'!D:D="docx"))&gt;0,1,0)</f>
        <v>0</v>
      </c>
      <c r="H16">
        <f>IF(SUMPRODUCT(('alle Dateien'!B:B=Bohrungen!B16)*('alle Dateien'!D:D="las"))&gt;0,1,0)</f>
        <v>1</v>
      </c>
      <c r="I16">
        <f>IF(SUMPRODUCT(('alle Dateien'!B:B=Bohrungen!B16)*('alle Dateien'!D:D="db"))&gt;0,1,0)</f>
        <v>0</v>
      </c>
      <c r="J16">
        <f>IF(SUMPRODUCT(('alle Dateien'!B:B=Bohrungen!B16)*('alle Dateien'!D:D="rhistory"))&gt;0,1,0)</f>
        <v>0</v>
      </c>
      <c r="K16">
        <f>IF(SUMPRODUCT(('alle Dateien'!B:B=Bohrungen!B16)*('alle Dateien'!D:D="mdb"))&gt;0,1,0)</f>
        <v>1</v>
      </c>
      <c r="L16">
        <f>IF(SUMPRODUCT(('alle Dateien'!B:B=Bohrungen!B16)*('alle Dateien'!D:D="xml"))&gt;0,1,0)</f>
        <v>1</v>
      </c>
      <c r="M16">
        <f>IF(SUMPRODUCT(('alle Dateien'!B:B=Bohrungen!B16)*('alle Dateien'!D:D="jpg"))&gt;0,1,0)</f>
        <v>0</v>
      </c>
      <c r="N16">
        <f>IF(SUMPRODUCT(('alle Dateien'!B:B=Bohrungen!B16)*('alle Dateien'!D:D="png"))&gt;0,1,0)</f>
        <v>0</v>
      </c>
      <c r="O16">
        <f>IF(SUMPRODUCT(('alle Dateien'!B:B=Bohrungen!B16)*('alle Dateien'!D:D="xls"))&gt;0,1,0)</f>
        <v>0</v>
      </c>
      <c r="P16">
        <f>IF(SUMPRODUCT(('alle Dateien'!B:B=Bohrungen!B16)*('alle Dateien'!D:D="txt"))&gt;0,1,0)</f>
        <v>0</v>
      </c>
      <c r="Q16">
        <f>IF(SUMPRODUCT(('alle Dateien'!B:B=Bohrungen!B16)*('alle Dateien'!D:D="ZIP oder R"))&gt;0,1,0)</f>
        <v>0</v>
      </c>
      <c r="R16">
        <f>IF(SUMPRODUCT(('alle Dateien'!B:B=Bohrungen!B16)*('alle Dateien'!D:D="tsf"))&gt;0,1,0)</f>
        <v>0</v>
      </c>
      <c r="S16">
        <f>IF(SUMPRODUCT(('alle Dateien'!B:B=Bohrungen!B16)*('alle Dateien'!D:D="sch"))&gt;0,1,0)</f>
        <v>0</v>
      </c>
      <c r="U16" t="str">
        <f t="shared" si="0"/>
        <v>10110100110000000</v>
      </c>
      <c r="V16" t="str">
        <f>VLOOKUP(U16,Kategorie!B:C,2,FALSE)</f>
        <v>pdf/ sdg/ xlsx/ las/ mdb/ xml</v>
      </c>
    </row>
    <row r="17" spans="1:22" x14ac:dyDescent="0.25">
      <c r="A17">
        <v>16</v>
      </c>
      <c r="B17" t="s">
        <v>2104</v>
      </c>
      <c r="C17" s="2">
        <f>IF(SUMPRODUCT(('alle Dateien'!B:B=Bohrungen!B17)*('alle Dateien'!D:D="pdf"))&gt;0,1,0)</f>
        <v>0</v>
      </c>
      <c r="D17">
        <f>IF(SUMPRODUCT(('alle Dateien'!B:B=Bohrungen!B17)*('alle Dateien'!D:D="tif"))&gt;0,1,0)</f>
        <v>0</v>
      </c>
      <c r="E17">
        <f>IF(SUMPRODUCT(('alle Dateien'!B:B=Bohrungen!B17)*('alle Dateien'!D:D="sdg"))&gt;0,1,0)</f>
        <v>1</v>
      </c>
      <c r="F17">
        <f>IF(SUMPRODUCT(('alle Dateien'!B:B=Bohrungen!B17)*('alle Dateien'!D:D="xlsx"))&gt;0,1,0)</f>
        <v>1</v>
      </c>
      <c r="G17">
        <f>IF(SUMPRODUCT(('alle Dateien'!B:B=Bohrungen!B17)*('alle Dateien'!D:D="docx"))&gt;0,1,0)</f>
        <v>0</v>
      </c>
      <c r="H17">
        <f>IF(SUMPRODUCT(('alle Dateien'!B:B=Bohrungen!B17)*('alle Dateien'!D:D="las"))&gt;0,1,0)</f>
        <v>1</v>
      </c>
      <c r="I17">
        <f>IF(SUMPRODUCT(('alle Dateien'!B:B=Bohrungen!B17)*('alle Dateien'!D:D="db"))&gt;0,1,0)</f>
        <v>0</v>
      </c>
      <c r="J17">
        <f>IF(SUMPRODUCT(('alle Dateien'!B:B=Bohrungen!B17)*('alle Dateien'!D:D="rhistory"))&gt;0,1,0)</f>
        <v>0</v>
      </c>
      <c r="K17">
        <f>IF(SUMPRODUCT(('alle Dateien'!B:B=Bohrungen!B17)*('alle Dateien'!D:D="mdb"))&gt;0,1,0)</f>
        <v>0</v>
      </c>
      <c r="L17">
        <f>IF(SUMPRODUCT(('alle Dateien'!B:B=Bohrungen!B17)*('alle Dateien'!D:D="xml"))&gt;0,1,0)</f>
        <v>0</v>
      </c>
      <c r="M17">
        <f>IF(SUMPRODUCT(('alle Dateien'!B:B=Bohrungen!B17)*('alle Dateien'!D:D="jpg"))&gt;0,1,0)</f>
        <v>0</v>
      </c>
      <c r="N17">
        <f>IF(SUMPRODUCT(('alle Dateien'!B:B=Bohrungen!B17)*('alle Dateien'!D:D="png"))&gt;0,1,0)</f>
        <v>0</v>
      </c>
      <c r="O17">
        <f>IF(SUMPRODUCT(('alle Dateien'!B:B=Bohrungen!B17)*('alle Dateien'!D:D="xls"))&gt;0,1,0)</f>
        <v>0</v>
      </c>
      <c r="P17">
        <f>IF(SUMPRODUCT(('alle Dateien'!B:B=Bohrungen!B17)*('alle Dateien'!D:D="txt"))&gt;0,1,0)</f>
        <v>0</v>
      </c>
      <c r="Q17">
        <f>IF(SUMPRODUCT(('alle Dateien'!B:B=Bohrungen!B17)*('alle Dateien'!D:D="ZIP oder R"))&gt;0,1,0)</f>
        <v>0</v>
      </c>
      <c r="R17">
        <f>IF(SUMPRODUCT(('alle Dateien'!B:B=Bohrungen!B17)*('alle Dateien'!D:D="tsf"))&gt;0,1,0)</f>
        <v>0</v>
      </c>
      <c r="S17">
        <f>IF(SUMPRODUCT(('alle Dateien'!B:B=Bohrungen!B17)*('alle Dateien'!D:D="sch"))&gt;0,1,0)</f>
        <v>0</v>
      </c>
      <c r="U17" t="str">
        <f t="shared" si="0"/>
        <v>00110100000000000</v>
      </c>
      <c r="V17" t="str">
        <f>VLOOKUP(U17,Kategorie!B:C,2,FALSE)</f>
        <v>sdg/ xlsx/ las</v>
      </c>
    </row>
    <row r="18" spans="1:22" x14ac:dyDescent="0.25">
      <c r="A18">
        <v>17</v>
      </c>
      <c r="B18" t="s">
        <v>2105</v>
      </c>
      <c r="C18" s="2">
        <f>IF(SUMPRODUCT(('alle Dateien'!B:B=Bohrungen!B18)*('alle Dateien'!D:D="pdf"))&gt;0,1,0)</f>
        <v>0</v>
      </c>
      <c r="D18">
        <f>IF(SUMPRODUCT(('alle Dateien'!B:B=Bohrungen!B18)*('alle Dateien'!D:D="tif"))&gt;0,1,0)</f>
        <v>0</v>
      </c>
      <c r="E18">
        <f>IF(SUMPRODUCT(('alle Dateien'!B:B=Bohrungen!B18)*('alle Dateien'!D:D="sdg"))&gt;0,1,0)</f>
        <v>1</v>
      </c>
      <c r="F18">
        <f>IF(SUMPRODUCT(('alle Dateien'!B:B=Bohrungen!B18)*('alle Dateien'!D:D="xlsx"))&gt;0,1,0)</f>
        <v>1</v>
      </c>
      <c r="G18">
        <f>IF(SUMPRODUCT(('alle Dateien'!B:B=Bohrungen!B18)*('alle Dateien'!D:D="docx"))&gt;0,1,0)</f>
        <v>0</v>
      </c>
      <c r="H18">
        <f>IF(SUMPRODUCT(('alle Dateien'!B:B=Bohrungen!B18)*('alle Dateien'!D:D="las"))&gt;0,1,0)</f>
        <v>1</v>
      </c>
      <c r="I18">
        <f>IF(SUMPRODUCT(('alle Dateien'!B:B=Bohrungen!B18)*('alle Dateien'!D:D="db"))&gt;0,1,0)</f>
        <v>0</v>
      </c>
      <c r="J18">
        <f>IF(SUMPRODUCT(('alle Dateien'!B:B=Bohrungen!B18)*('alle Dateien'!D:D="rhistory"))&gt;0,1,0)</f>
        <v>0</v>
      </c>
      <c r="K18">
        <f>IF(SUMPRODUCT(('alle Dateien'!B:B=Bohrungen!B18)*('alle Dateien'!D:D="mdb"))&gt;0,1,0)</f>
        <v>0</v>
      </c>
      <c r="L18">
        <f>IF(SUMPRODUCT(('alle Dateien'!B:B=Bohrungen!B18)*('alle Dateien'!D:D="xml"))&gt;0,1,0)</f>
        <v>0</v>
      </c>
      <c r="M18">
        <f>IF(SUMPRODUCT(('alle Dateien'!B:B=Bohrungen!B18)*('alle Dateien'!D:D="jpg"))&gt;0,1,0)</f>
        <v>0</v>
      </c>
      <c r="N18">
        <f>IF(SUMPRODUCT(('alle Dateien'!B:B=Bohrungen!B18)*('alle Dateien'!D:D="png"))&gt;0,1,0)</f>
        <v>0</v>
      </c>
      <c r="O18">
        <f>IF(SUMPRODUCT(('alle Dateien'!B:B=Bohrungen!B18)*('alle Dateien'!D:D="xls"))&gt;0,1,0)</f>
        <v>0</v>
      </c>
      <c r="P18">
        <f>IF(SUMPRODUCT(('alle Dateien'!B:B=Bohrungen!B18)*('alle Dateien'!D:D="txt"))&gt;0,1,0)</f>
        <v>0</v>
      </c>
      <c r="Q18">
        <f>IF(SUMPRODUCT(('alle Dateien'!B:B=Bohrungen!B18)*('alle Dateien'!D:D="ZIP oder R"))&gt;0,1,0)</f>
        <v>0</v>
      </c>
      <c r="R18">
        <f>IF(SUMPRODUCT(('alle Dateien'!B:B=Bohrungen!B18)*('alle Dateien'!D:D="tsf"))&gt;0,1,0)</f>
        <v>0</v>
      </c>
      <c r="S18">
        <f>IF(SUMPRODUCT(('alle Dateien'!B:B=Bohrungen!B18)*('alle Dateien'!D:D="sch"))&gt;0,1,0)</f>
        <v>0</v>
      </c>
      <c r="U18" t="str">
        <f t="shared" si="0"/>
        <v>00110100000000000</v>
      </c>
      <c r="V18" t="str">
        <f>VLOOKUP(U18,Kategorie!B:C,2,FALSE)</f>
        <v>sdg/ xlsx/ las</v>
      </c>
    </row>
    <row r="19" spans="1:22" x14ac:dyDescent="0.25">
      <c r="A19">
        <v>18</v>
      </c>
      <c r="B19" t="s">
        <v>2106</v>
      </c>
      <c r="C19" s="2">
        <f>IF(SUMPRODUCT(('alle Dateien'!B:B=Bohrungen!B19)*('alle Dateien'!D:D="pdf"))&gt;0,1,0)</f>
        <v>1</v>
      </c>
      <c r="D19">
        <f>IF(SUMPRODUCT(('alle Dateien'!B:B=Bohrungen!B19)*('alle Dateien'!D:D="tif"))&gt;0,1,0)</f>
        <v>0</v>
      </c>
      <c r="E19">
        <f>IF(SUMPRODUCT(('alle Dateien'!B:B=Bohrungen!B19)*('alle Dateien'!D:D="sdg"))&gt;0,1,0)</f>
        <v>1</v>
      </c>
      <c r="F19">
        <f>IF(SUMPRODUCT(('alle Dateien'!B:B=Bohrungen!B19)*('alle Dateien'!D:D="xlsx"))&gt;0,1,0)</f>
        <v>1</v>
      </c>
      <c r="G19">
        <f>IF(SUMPRODUCT(('alle Dateien'!B:B=Bohrungen!B19)*('alle Dateien'!D:D="docx"))&gt;0,1,0)</f>
        <v>0</v>
      </c>
      <c r="H19">
        <f>IF(SUMPRODUCT(('alle Dateien'!B:B=Bohrungen!B19)*('alle Dateien'!D:D="las"))&gt;0,1,0)</f>
        <v>1</v>
      </c>
      <c r="I19">
        <f>IF(SUMPRODUCT(('alle Dateien'!B:B=Bohrungen!B19)*('alle Dateien'!D:D="db"))&gt;0,1,0)</f>
        <v>0</v>
      </c>
      <c r="J19">
        <f>IF(SUMPRODUCT(('alle Dateien'!B:B=Bohrungen!B19)*('alle Dateien'!D:D="rhistory"))&gt;0,1,0)</f>
        <v>0</v>
      </c>
      <c r="K19">
        <f>IF(SUMPRODUCT(('alle Dateien'!B:B=Bohrungen!B19)*('alle Dateien'!D:D="mdb"))&gt;0,1,0)</f>
        <v>0</v>
      </c>
      <c r="L19">
        <f>IF(SUMPRODUCT(('alle Dateien'!B:B=Bohrungen!B19)*('alle Dateien'!D:D="xml"))&gt;0,1,0)</f>
        <v>0</v>
      </c>
      <c r="M19">
        <f>IF(SUMPRODUCT(('alle Dateien'!B:B=Bohrungen!B19)*('alle Dateien'!D:D="jpg"))&gt;0,1,0)</f>
        <v>0</v>
      </c>
      <c r="N19">
        <f>IF(SUMPRODUCT(('alle Dateien'!B:B=Bohrungen!B19)*('alle Dateien'!D:D="png"))&gt;0,1,0)</f>
        <v>0</v>
      </c>
      <c r="O19">
        <f>IF(SUMPRODUCT(('alle Dateien'!B:B=Bohrungen!B19)*('alle Dateien'!D:D="xls"))&gt;0,1,0)</f>
        <v>0</v>
      </c>
      <c r="P19">
        <f>IF(SUMPRODUCT(('alle Dateien'!B:B=Bohrungen!B19)*('alle Dateien'!D:D="txt"))&gt;0,1,0)</f>
        <v>0</v>
      </c>
      <c r="Q19">
        <f>IF(SUMPRODUCT(('alle Dateien'!B:B=Bohrungen!B19)*('alle Dateien'!D:D="ZIP oder R"))&gt;0,1,0)</f>
        <v>0</v>
      </c>
      <c r="R19">
        <f>IF(SUMPRODUCT(('alle Dateien'!B:B=Bohrungen!B19)*('alle Dateien'!D:D="tsf"))&gt;0,1,0)</f>
        <v>0</v>
      </c>
      <c r="S19">
        <f>IF(SUMPRODUCT(('alle Dateien'!B:B=Bohrungen!B19)*('alle Dateien'!D:D="sch"))&gt;0,1,0)</f>
        <v>0</v>
      </c>
      <c r="U19" t="str">
        <f t="shared" si="0"/>
        <v>10110100000000000</v>
      </c>
      <c r="V19" t="str">
        <f>VLOOKUP(U19,Kategorie!B:C,2,FALSE)</f>
        <v>pdf/ sdg/ xlsx/ las</v>
      </c>
    </row>
    <row r="20" spans="1:22" x14ac:dyDescent="0.25">
      <c r="A20">
        <v>19</v>
      </c>
      <c r="B20" t="s">
        <v>2269</v>
      </c>
      <c r="C20" s="2">
        <f>IF(SUMPRODUCT(('alle Dateien'!B:B=Bohrungen!B20)*('alle Dateien'!D:D="pdf"))&gt;0,1,0)</f>
        <v>1</v>
      </c>
      <c r="D20">
        <f>IF(SUMPRODUCT(('alle Dateien'!B:B=Bohrungen!B20)*('alle Dateien'!D:D="tif"))&gt;0,1,0)</f>
        <v>0</v>
      </c>
      <c r="E20">
        <f>IF(SUMPRODUCT(('alle Dateien'!B:B=Bohrungen!B20)*('alle Dateien'!D:D="sdg"))&gt;0,1,0)</f>
        <v>1</v>
      </c>
      <c r="F20">
        <f>IF(SUMPRODUCT(('alle Dateien'!B:B=Bohrungen!B20)*('alle Dateien'!D:D="xlsx"))&gt;0,1,0)</f>
        <v>1</v>
      </c>
      <c r="G20">
        <f>IF(SUMPRODUCT(('alle Dateien'!B:B=Bohrungen!B20)*('alle Dateien'!D:D="docx"))&gt;0,1,0)</f>
        <v>0</v>
      </c>
      <c r="H20">
        <f>IF(SUMPRODUCT(('alle Dateien'!B:B=Bohrungen!B20)*('alle Dateien'!D:D="las"))&gt;0,1,0)</f>
        <v>0</v>
      </c>
      <c r="I20">
        <f>IF(SUMPRODUCT(('alle Dateien'!B:B=Bohrungen!B20)*('alle Dateien'!D:D="db"))&gt;0,1,0)</f>
        <v>0</v>
      </c>
      <c r="J20">
        <f>IF(SUMPRODUCT(('alle Dateien'!B:B=Bohrungen!B20)*('alle Dateien'!D:D="rhistory"))&gt;0,1,0)</f>
        <v>0</v>
      </c>
      <c r="K20">
        <f>IF(SUMPRODUCT(('alle Dateien'!B:B=Bohrungen!B20)*('alle Dateien'!D:D="mdb"))&gt;0,1,0)</f>
        <v>0</v>
      </c>
      <c r="L20">
        <f>IF(SUMPRODUCT(('alle Dateien'!B:B=Bohrungen!B20)*('alle Dateien'!D:D="xml"))&gt;0,1,0)</f>
        <v>0</v>
      </c>
      <c r="M20">
        <f>IF(SUMPRODUCT(('alle Dateien'!B:B=Bohrungen!B20)*('alle Dateien'!D:D="jpg"))&gt;0,1,0)</f>
        <v>1</v>
      </c>
      <c r="N20">
        <f>IF(SUMPRODUCT(('alle Dateien'!B:B=Bohrungen!B20)*('alle Dateien'!D:D="png"))&gt;0,1,0)</f>
        <v>1</v>
      </c>
      <c r="O20">
        <f>IF(SUMPRODUCT(('alle Dateien'!B:B=Bohrungen!B20)*('alle Dateien'!D:D="xls"))&gt;0,1,0)</f>
        <v>0</v>
      </c>
      <c r="P20">
        <f>IF(SUMPRODUCT(('alle Dateien'!B:B=Bohrungen!B20)*('alle Dateien'!D:D="txt"))&gt;0,1,0)</f>
        <v>0</v>
      </c>
      <c r="Q20">
        <f>IF(SUMPRODUCT(('alle Dateien'!B:B=Bohrungen!B20)*('alle Dateien'!D:D="ZIP oder R"))&gt;0,1,0)</f>
        <v>0</v>
      </c>
      <c r="R20">
        <f>IF(SUMPRODUCT(('alle Dateien'!B:B=Bohrungen!B20)*('alle Dateien'!D:D="tsf"))&gt;0,1,0)</f>
        <v>0</v>
      </c>
      <c r="S20">
        <f>IF(SUMPRODUCT(('alle Dateien'!B:B=Bohrungen!B20)*('alle Dateien'!D:D="sch"))&gt;0,1,0)</f>
        <v>0</v>
      </c>
      <c r="U20" t="str">
        <f t="shared" si="0"/>
        <v>10110000001100000</v>
      </c>
      <c r="V20" t="str">
        <f>VLOOKUP(U20,Kategorie!B:C,2,FALSE)</f>
        <v>pdf/ sdg/ xlsx/ jpg/ png</v>
      </c>
    </row>
    <row r="21" spans="1:22" x14ac:dyDescent="0.25">
      <c r="A21">
        <v>20</v>
      </c>
      <c r="B21" t="s">
        <v>2107</v>
      </c>
      <c r="C21" s="2">
        <f>IF(SUMPRODUCT(('alle Dateien'!B:B=Bohrungen!B21)*('alle Dateien'!D:D="pdf"))&gt;0,1,0)</f>
        <v>1</v>
      </c>
      <c r="D21">
        <f>IF(SUMPRODUCT(('alle Dateien'!B:B=Bohrungen!B21)*('alle Dateien'!D:D="tif"))&gt;0,1,0)</f>
        <v>0</v>
      </c>
      <c r="E21">
        <f>IF(SUMPRODUCT(('alle Dateien'!B:B=Bohrungen!B21)*('alle Dateien'!D:D="sdg"))&gt;0,1,0)</f>
        <v>0</v>
      </c>
      <c r="F21">
        <f>IF(SUMPRODUCT(('alle Dateien'!B:B=Bohrungen!B21)*('alle Dateien'!D:D="xlsx"))&gt;0,1,0)</f>
        <v>0</v>
      </c>
      <c r="G21">
        <f>IF(SUMPRODUCT(('alle Dateien'!B:B=Bohrungen!B21)*('alle Dateien'!D:D="docx"))&gt;0,1,0)</f>
        <v>0</v>
      </c>
      <c r="H21">
        <f>IF(SUMPRODUCT(('alle Dateien'!B:B=Bohrungen!B21)*('alle Dateien'!D:D="las"))&gt;0,1,0)</f>
        <v>0</v>
      </c>
      <c r="I21">
        <f>IF(SUMPRODUCT(('alle Dateien'!B:B=Bohrungen!B21)*('alle Dateien'!D:D="db"))&gt;0,1,0)</f>
        <v>0</v>
      </c>
      <c r="J21">
        <f>IF(SUMPRODUCT(('alle Dateien'!B:B=Bohrungen!B21)*('alle Dateien'!D:D="rhistory"))&gt;0,1,0)</f>
        <v>0</v>
      </c>
      <c r="K21">
        <f>IF(SUMPRODUCT(('alle Dateien'!B:B=Bohrungen!B21)*('alle Dateien'!D:D="mdb"))&gt;0,1,0)</f>
        <v>0</v>
      </c>
      <c r="L21">
        <f>IF(SUMPRODUCT(('alle Dateien'!B:B=Bohrungen!B21)*('alle Dateien'!D:D="xml"))&gt;0,1,0)</f>
        <v>0</v>
      </c>
      <c r="M21">
        <f>IF(SUMPRODUCT(('alle Dateien'!B:B=Bohrungen!B21)*('alle Dateien'!D:D="jpg"))&gt;0,1,0)</f>
        <v>0</v>
      </c>
      <c r="N21">
        <f>IF(SUMPRODUCT(('alle Dateien'!B:B=Bohrungen!B21)*('alle Dateien'!D:D="png"))&gt;0,1,0)</f>
        <v>0</v>
      </c>
      <c r="O21">
        <f>IF(SUMPRODUCT(('alle Dateien'!B:B=Bohrungen!B21)*('alle Dateien'!D:D="xls"))&gt;0,1,0)</f>
        <v>0</v>
      </c>
      <c r="P21">
        <f>IF(SUMPRODUCT(('alle Dateien'!B:B=Bohrungen!B21)*('alle Dateien'!D:D="txt"))&gt;0,1,0)</f>
        <v>0</v>
      </c>
      <c r="Q21">
        <f>IF(SUMPRODUCT(('alle Dateien'!B:B=Bohrungen!B21)*('alle Dateien'!D:D="ZIP oder R"))&gt;0,1,0)</f>
        <v>0</v>
      </c>
      <c r="R21">
        <f>IF(SUMPRODUCT(('alle Dateien'!B:B=Bohrungen!B21)*('alle Dateien'!D:D="tsf"))&gt;0,1,0)</f>
        <v>0</v>
      </c>
      <c r="S21">
        <f>IF(SUMPRODUCT(('alle Dateien'!B:B=Bohrungen!B21)*('alle Dateien'!D:D="sch"))&gt;0,1,0)</f>
        <v>0</v>
      </c>
      <c r="U21" t="str">
        <f t="shared" si="0"/>
        <v>10000000000000000</v>
      </c>
      <c r="V21" t="str">
        <f>VLOOKUP(U21,Kategorie!B:C,2,FALSE)</f>
        <v>pdf</v>
      </c>
    </row>
    <row r="22" spans="1:22" x14ac:dyDescent="0.25">
      <c r="A22">
        <v>21</v>
      </c>
      <c r="B22" t="s">
        <v>2108</v>
      </c>
      <c r="C22" s="2">
        <f>IF(SUMPRODUCT(('alle Dateien'!B:B=Bohrungen!B22)*('alle Dateien'!D:D="pdf"))&gt;0,1,0)</f>
        <v>1</v>
      </c>
      <c r="D22">
        <f>IF(SUMPRODUCT(('alle Dateien'!B:B=Bohrungen!B22)*('alle Dateien'!D:D="tif"))&gt;0,1,0)</f>
        <v>0</v>
      </c>
      <c r="E22">
        <f>IF(SUMPRODUCT(('alle Dateien'!B:B=Bohrungen!B22)*('alle Dateien'!D:D="sdg"))&gt;0,1,0)</f>
        <v>0</v>
      </c>
      <c r="F22">
        <f>IF(SUMPRODUCT(('alle Dateien'!B:B=Bohrungen!B22)*('alle Dateien'!D:D="xlsx"))&gt;0,1,0)</f>
        <v>0</v>
      </c>
      <c r="G22">
        <f>IF(SUMPRODUCT(('alle Dateien'!B:B=Bohrungen!B22)*('alle Dateien'!D:D="docx"))&gt;0,1,0)</f>
        <v>0</v>
      </c>
      <c r="H22">
        <f>IF(SUMPRODUCT(('alle Dateien'!B:B=Bohrungen!B22)*('alle Dateien'!D:D="las"))&gt;0,1,0)</f>
        <v>0</v>
      </c>
      <c r="I22">
        <f>IF(SUMPRODUCT(('alle Dateien'!B:B=Bohrungen!B22)*('alle Dateien'!D:D="db"))&gt;0,1,0)</f>
        <v>0</v>
      </c>
      <c r="J22">
        <f>IF(SUMPRODUCT(('alle Dateien'!B:B=Bohrungen!B22)*('alle Dateien'!D:D="rhistory"))&gt;0,1,0)</f>
        <v>0</v>
      </c>
      <c r="K22">
        <f>IF(SUMPRODUCT(('alle Dateien'!B:B=Bohrungen!B22)*('alle Dateien'!D:D="mdb"))&gt;0,1,0)</f>
        <v>0</v>
      </c>
      <c r="L22">
        <f>IF(SUMPRODUCT(('alle Dateien'!B:B=Bohrungen!B22)*('alle Dateien'!D:D="xml"))&gt;0,1,0)</f>
        <v>0</v>
      </c>
      <c r="M22">
        <f>IF(SUMPRODUCT(('alle Dateien'!B:B=Bohrungen!B22)*('alle Dateien'!D:D="jpg"))&gt;0,1,0)</f>
        <v>0</v>
      </c>
      <c r="N22">
        <f>IF(SUMPRODUCT(('alle Dateien'!B:B=Bohrungen!B22)*('alle Dateien'!D:D="png"))&gt;0,1,0)</f>
        <v>0</v>
      </c>
      <c r="O22">
        <f>IF(SUMPRODUCT(('alle Dateien'!B:B=Bohrungen!B22)*('alle Dateien'!D:D="xls"))&gt;0,1,0)</f>
        <v>0</v>
      </c>
      <c r="P22">
        <f>IF(SUMPRODUCT(('alle Dateien'!B:B=Bohrungen!B22)*('alle Dateien'!D:D="txt"))&gt;0,1,0)</f>
        <v>0</v>
      </c>
      <c r="Q22">
        <f>IF(SUMPRODUCT(('alle Dateien'!B:B=Bohrungen!B22)*('alle Dateien'!D:D="ZIP oder R"))&gt;0,1,0)</f>
        <v>0</v>
      </c>
      <c r="R22">
        <f>IF(SUMPRODUCT(('alle Dateien'!B:B=Bohrungen!B22)*('alle Dateien'!D:D="tsf"))&gt;0,1,0)</f>
        <v>0</v>
      </c>
      <c r="S22">
        <f>IF(SUMPRODUCT(('alle Dateien'!B:B=Bohrungen!B22)*('alle Dateien'!D:D="sch"))&gt;0,1,0)</f>
        <v>0</v>
      </c>
      <c r="U22" t="str">
        <f t="shared" si="0"/>
        <v>10000000000000000</v>
      </c>
      <c r="V22" t="str">
        <f>VLOOKUP(U22,Kategorie!B:C,2,FALSE)</f>
        <v>pdf</v>
      </c>
    </row>
    <row r="23" spans="1:22" x14ac:dyDescent="0.25">
      <c r="A23">
        <v>22</v>
      </c>
      <c r="B23" t="s">
        <v>2109</v>
      </c>
      <c r="C23" s="2">
        <f>IF(SUMPRODUCT(('alle Dateien'!B:B=Bohrungen!B23)*('alle Dateien'!D:D="pdf"))&gt;0,1,0)</f>
        <v>1</v>
      </c>
      <c r="D23">
        <f>IF(SUMPRODUCT(('alle Dateien'!B:B=Bohrungen!B23)*('alle Dateien'!D:D="tif"))&gt;0,1,0)</f>
        <v>0</v>
      </c>
      <c r="E23">
        <f>IF(SUMPRODUCT(('alle Dateien'!B:B=Bohrungen!B23)*('alle Dateien'!D:D="sdg"))&gt;0,1,0)</f>
        <v>0</v>
      </c>
      <c r="F23">
        <f>IF(SUMPRODUCT(('alle Dateien'!B:B=Bohrungen!B23)*('alle Dateien'!D:D="xlsx"))&gt;0,1,0)</f>
        <v>0</v>
      </c>
      <c r="G23">
        <f>IF(SUMPRODUCT(('alle Dateien'!B:B=Bohrungen!B23)*('alle Dateien'!D:D="docx"))&gt;0,1,0)</f>
        <v>0</v>
      </c>
      <c r="H23">
        <f>IF(SUMPRODUCT(('alle Dateien'!B:B=Bohrungen!B23)*('alle Dateien'!D:D="las"))&gt;0,1,0)</f>
        <v>0</v>
      </c>
      <c r="I23">
        <f>IF(SUMPRODUCT(('alle Dateien'!B:B=Bohrungen!B23)*('alle Dateien'!D:D="db"))&gt;0,1,0)</f>
        <v>0</v>
      </c>
      <c r="J23">
        <f>IF(SUMPRODUCT(('alle Dateien'!B:B=Bohrungen!B23)*('alle Dateien'!D:D="rhistory"))&gt;0,1,0)</f>
        <v>0</v>
      </c>
      <c r="K23">
        <f>IF(SUMPRODUCT(('alle Dateien'!B:B=Bohrungen!B23)*('alle Dateien'!D:D="mdb"))&gt;0,1,0)</f>
        <v>0</v>
      </c>
      <c r="L23">
        <f>IF(SUMPRODUCT(('alle Dateien'!B:B=Bohrungen!B23)*('alle Dateien'!D:D="xml"))&gt;0,1,0)</f>
        <v>0</v>
      </c>
      <c r="M23">
        <f>IF(SUMPRODUCT(('alle Dateien'!B:B=Bohrungen!B23)*('alle Dateien'!D:D="jpg"))&gt;0,1,0)</f>
        <v>0</v>
      </c>
      <c r="N23">
        <f>IF(SUMPRODUCT(('alle Dateien'!B:B=Bohrungen!B23)*('alle Dateien'!D:D="png"))&gt;0,1,0)</f>
        <v>0</v>
      </c>
      <c r="O23">
        <f>IF(SUMPRODUCT(('alle Dateien'!B:B=Bohrungen!B23)*('alle Dateien'!D:D="xls"))&gt;0,1,0)</f>
        <v>0</v>
      </c>
      <c r="P23">
        <f>IF(SUMPRODUCT(('alle Dateien'!B:B=Bohrungen!B23)*('alle Dateien'!D:D="txt"))&gt;0,1,0)</f>
        <v>0</v>
      </c>
      <c r="Q23">
        <f>IF(SUMPRODUCT(('alle Dateien'!B:B=Bohrungen!B23)*('alle Dateien'!D:D="ZIP oder R"))&gt;0,1,0)</f>
        <v>0</v>
      </c>
      <c r="R23">
        <f>IF(SUMPRODUCT(('alle Dateien'!B:B=Bohrungen!B23)*('alle Dateien'!D:D="tsf"))&gt;0,1,0)</f>
        <v>0</v>
      </c>
      <c r="S23">
        <f>IF(SUMPRODUCT(('alle Dateien'!B:B=Bohrungen!B23)*('alle Dateien'!D:D="sch"))&gt;0,1,0)</f>
        <v>0</v>
      </c>
      <c r="U23" t="str">
        <f t="shared" si="0"/>
        <v>10000000000000000</v>
      </c>
      <c r="V23" t="str">
        <f>VLOOKUP(U23,Kategorie!B:C,2,FALSE)</f>
        <v>pdf</v>
      </c>
    </row>
    <row r="24" spans="1:22" x14ac:dyDescent="0.25">
      <c r="A24">
        <v>23</v>
      </c>
      <c r="B24" t="s">
        <v>2110</v>
      </c>
      <c r="C24" s="2">
        <f>IF(SUMPRODUCT(('alle Dateien'!B:B=Bohrungen!B24)*('alle Dateien'!D:D="pdf"))&gt;0,1,0)</f>
        <v>1</v>
      </c>
      <c r="D24">
        <f>IF(SUMPRODUCT(('alle Dateien'!B:B=Bohrungen!B24)*('alle Dateien'!D:D="tif"))&gt;0,1,0)</f>
        <v>0</v>
      </c>
      <c r="E24">
        <f>IF(SUMPRODUCT(('alle Dateien'!B:B=Bohrungen!B24)*('alle Dateien'!D:D="sdg"))&gt;0,1,0)</f>
        <v>0</v>
      </c>
      <c r="F24">
        <f>IF(SUMPRODUCT(('alle Dateien'!B:B=Bohrungen!B24)*('alle Dateien'!D:D="xlsx"))&gt;0,1,0)</f>
        <v>0</v>
      </c>
      <c r="G24">
        <f>IF(SUMPRODUCT(('alle Dateien'!B:B=Bohrungen!B24)*('alle Dateien'!D:D="docx"))&gt;0,1,0)</f>
        <v>0</v>
      </c>
      <c r="H24">
        <f>IF(SUMPRODUCT(('alle Dateien'!B:B=Bohrungen!B24)*('alle Dateien'!D:D="las"))&gt;0,1,0)</f>
        <v>0</v>
      </c>
      <c r="I24">
        <f>IF(SUMPRODUCT(('alle Dateien'!B:B=Bohrungen!B24)*('alle Dateien'!D:D="db"))&gt;0,1,0)</f>
        <v>0</v>
      </c>
      <c r="J24">
        <f>IF(SUMPRODUCT(('alle Dateien'!B:B=Bohrungen!B24)*('alle Dateien'!D:D="rhistory"))&gt;0,1,0)</f>
        <v>0</v>
      </c>
      <c r="K24">
        <f>IF(SUMPRODUCT(('alle Dateien'!B:B=Bohrungen!B24)*('alle Dateien'!D:D="mdb"))&gt;0,1,0)</f>
        <v>0</v>
      </c>
      <c r="L24">
        <f>IF(SUMPRODUCT(('alle Dateien'!B:B=Bohrungen!B24)*('alle Dateien'!D:D="xml"))&gt;0,1,0)</f>
        <v>0</v>
      </c>
      <c r="M24">
        <f>IF(SUMPRODUCT(('alle Dateien'!B:B=Bohrungen!B24)*('alle Dateien'!D:D="jpg"))&gt;0,1,0)</f>
        <v>0</v>
      </c>
      <c r="N24">
        <f>IF(SUMPRODUCT(('alle Dateien'!B:B=Bohrungen!B24)*('alle Dateien'!D:D="png"))&gt;0,1,0)</f>
        <v>0</v>
      </c>
      <c r="O24">
        <f>IF(SUMPRODUCT(('alle Dateien'!B:B=Bohrungen!B24)*('alle Dateien'!D:D="xls"))&gt;0,1,0)</f>
        <v>0</v>
      </c>
      <c r="P24">
        <f>IF(SUMPRODUCT(('alle Dateien'!B:B=Bohrungen!B24)*('alle Dateien'!D:D="txt"))&gt;0,1,0)</f>
        <v>0</v>
      </c>
      <c r="Q24">
        <f>IF(SUMPRODUCT(('alle Dateien'!B:B=Bohrungen!B24)*('alle Dateien'!D:D="ZIP oder R"))&gt;0,1,0)</f>
        <v>0</v>
      </c>
      <c r="R24">
        <f>IF(SUMPRODUCT(('alle Dateien'!B:B=Bohrungen!B24)*('alle Dateien'!D:D="tsf"))&gt;0,1,0)</f>
        <v>0</v>
      </c>
      <c r="S24">
        <f>IF(SUMPRODUCT(('alle Dateien'!B:B=Bohrungen!B24)*('alle Dateien'!D:D="sch"))&gt;0,1,0)</f>
        <v>0</v>
      </c>
      <c r="U24" t="str">
        <f t="shared" si="0"/>
        <v>10000000000000000</v>
      </c>
      <c r="V24" t="str">
        <f>VLOOKUP(U24,Kategorie!B:C,2,FALSE)</f>
        <v>pdf</v>
      </c>
    </row>
    <row r="25" spans="1:22" x14ac:dyDescent="0.25">
      <c r="A25">
        <v>24</v>
      </c>
      <c r="B25" t="s">
        <v>2111</v>
      </c>
      <c r="C25" s="2">
        <f>IF(SUMPRODUCT(('alle Dateien'!B:B=Bohrungen!B25)*('alle Dateien'!D:D="pdf"))&gt;0,1,0)</f>
        <v>1</v>
      </c>
      <c r="D25">
        <f>IF(SUMPRODUCT(('alle Dateien'!B:B=Bohrungen!B25)*('alle Dateien'!D:D="tif"))&gt;0,1,0)</f>
        <v>0</v>
      </c>
      <c r="E25">
        <f>IF(SUMPRODUCT(('alle Dateien'!B:B=Bohrungen!B25)*('alle Dateien'!D:D="sdg"))&gt;0,1,0)</f>
        <v>1</v>
      </c>
      <c r="F25">
        <f>IF(SUMPRODUCT(('alle Dateien'!B:B=Bohrungen!B25)*('alle Dateien'!D:D="xlsx"))&gt;0,1,0)</f>
        <v>1</v>
      </c>
      <c r="G25">
        <f>IF(SUMPRODUCT(('alle Dateien'!B:B=Bohrungen!B25)*('alle Dateien'!D:D="docx"))&gt;0,1,0)</f>
        <v>0</v>
      </c>
      <c r="H25">
        <f>IF(SUMPRODUCT(('alle Dateien'!B:B=Bohrungen!B25)*('alle Dateien'!D:D="las"))&gt;0,1,0)</f>
        <v>1</v>
      </c>
      <c r="I25">
        <f>IF(SUMPRODUCT(('alle Dateien'!B:B=Bohrungen!B25)*('alle Dateien'!D:D="db"))&gt;0,1,0)</f>
        <v>0</v>
      </c>
      <c r="J25">
        <f>IF(SUMPRODUCT(('alle Dateien'!B:B=Bohrungen!B25)*('alle Dateien'!D:D="rhistory"))&gt;0,1,0)</f>
        <v>0</v>
      </c>
      <c r="K25">
        <f>IF(SUMPRODUCT(('alle Dateien'!B:B=Bohrungen!B25)*('alle Dateien'!D:D="mdb"))&gt;0,1,0)</f>
        <v>0</v>
      </c>
      <c r="L25">
        <f>IF(SUMPRODUCT(('alle Dateien'!B:B=Bohrungen!B25)*('alle Dateien'!D:D="xml"))&gt;0,1,0)</f>
        <v>0</v>
      </c>
      <c r="M25">
        <f>IF(SUMPRODUCT(('alle Dateien'!B:B=Bohrungen!B25)*('alle Dateien'!D:D="jpg"))&gt;0,1,0)</f>
        <v>0</v>
      </c>
      <c r="N25">
        <f>IF(SUMPRODUCT(('alle Dateien'!B:B=Bohrungen!B25)*('alle Dateien'!D:D="png"))&gt;0,1,0)</f>
        <v>0</v>
      </c>
      <c r="O25">
        <f>IF(SUMPRODUCT(('alle Dateien'!B:B=Bohrungen!B25)*('alle Dateien'!D:D="xls"))&gt;0,1,0)</f>
        <v>0</v>
      </c>
      <c r="P25">
        <f>IF(SUMPRODUCT(('alle Dateien'!B:B=Bohrungen!B25)*('alle Dateien'!D:D="txt"))&gt;0,1,0)</f>
        <v>0</v>
      </c>
      <c r="Q25">
        <f>IF(SUMPRODUCT(('alle Dateien'!B:B=Bohrungen!B25)*('alle Dateien'!D:D="ZIP oder R"))&gt;0,1,0)</f>
        <v>1</v>
      </c>
      <c r="R25">
        <f>IF(SUMPRODUCT(('alle Dateien'!B:B=Bohrungen!B25)*('alle Dateien'!D:D="tsf"))&gt;0,1,0)</f>
        <v>0</v>
      </c>
      <c r="S25">
        <f>IF(SUMPRODUCT(('alle Dateien'!B:B=Bohrungen!B25)*('alle Dateien'!D:D="sch"))&gt;0,1,0)</f>
        <v>0</v>
      </c>
      <c r="U25" t="str">
        <f t="shared" si="0"/>
        <v>10110100000000100</v>
      </c>
      <c r="V25" t="str">
        <f>VLOOKUP(U25,Kategorie!B:C,2,FALSE)</f>
        <v>pdf/ sdg/ xlsx/ las/ ZIP oder R</v>
      </c>
    </row>
    <row r="26" spans="1:22" x14ac:dyDescent="0.25">
      <c r="A26">
        <v>25</v>
      </c>
      <c r="B26" t="s">
        <v>2112</v>
      </c>
      <c r="C26" s="2">
        <f>IF(SUMPRODUCT(('alle Dateien'!B:B=Bohrungen!B26)*('alle Dateien'!D:D="pdf"))&gt;0,1,0)</f>
        <v>1</v>
      </c>
      <c r="D26">
        <f>IF(SUMPRODUCT(('alle Dateien'!B:B=Bohrungen!B26)*('alle Dateien'!D:D="tif"))&gt;0,1,0)</f>
        <v>0</v>
      </c>
      <c r="E26">
        <f>IF(SUMPRODUCT(('alle Dateien'!B:B=Bohrungen!B26)*('alle Dateien'!D:D="sdg"))&gt;0,1,0)</f>
        <v>0</v>
      </c>
      <c r="F26">
        <f>IF(SUMPRODUCT(('alle Dateien'!B:B=Bohrungen!B26)*('alle Dateien'!D:D="xlsx"))&gt;0,1,0)</f>
        <v>0</v>
      </c>
      <c r="G26">
        <f>IF(SUMPRODUCT(('alle Dateien'!B:B=Bohrungen!B26)*('alle Dateien'!D:D="docx"))&gt;0,1,0)</f>
        <v>0</v>
      </c>
      <c r="H26">
        <f>IF(SUMPRODUCT(('alle Dateien'!B:B=Bohrungen!B26)*('alle Dateien'!D:D="las"))&gt;0,1,0)</f>
        <v>0</v>
      </c>
      <c r="I26">
        <f>IF(SUMPRODUCT(('alle Dateien'!B:B=Bohrungen!B26)*('alle Dateien'!D:D="db"))&gt;0,1,0)</f>
        <v>0</v>
      </c>
      <c r="J26">
        <f>IF(SUMPRODUCT(('alle Dateien'!B:B=Bohrungen!B26)*('alle Dateien'!D:D="rhistory"))&gt;0,1,0)</f>
        <v>0</v>
      </c>
      <c r="K26">
        <f>IF(SUMPRODUCT(('alle Dateien'!B:B=Bohrungen!B26)*('alle Dateien'!D:D="mdb"))&gt;0,1,0)</f>
        <v>0</v>
      </c>
      <c r="L26">
        <f>IF(SUMPRODUCT(('alle Dateien'!B:B=Bohrungen!B26)*('alle Dateien'!D:D="xml"))&gt;0,1,0)</f>
        <v>0</v>
      </c>
      <c r="M26">
        <f>IF(SUMPRODUCT(('alle Dateien'!B:B=Bohrungen!B26)*('alle Dateien'!D:D="jpg"))&gt;0,1,0)</f>
        <v>0</v>
      </c>
      <c r="N26">
        <f>IF(SUMPRODUCT(('alle Dateien'!B:B=Bohrungen!B26)*('alle Dateien'!D:D="png"))&gt;0,1,0)</f>
        <v>0</v>
      </c>
      <c r="O26">
        <f>IF(SUMPRODUCT(('alle Dateien'!B:B=Bohrungen!B26)*('alle Dateien'!D:D="xls"))&gt;0,1,0)</f>
        <v>0</v>
      </c>
      <c r="P26">
        <f>IF(SUMPRODUCT(('alle Dateien'!B:B=Bohrungen!B26)*('alle Dateien'!D:D="txt"))&gt;0,1,0)</f>
        <v>0</v>
      </c>
      <c r="Q26">
        <f>IF(SUMPRODUCT(('alle Dateien'!B:B=Bohrungen!B26)*('alle Dateien'!D:D="ZIP oder R"))&gt;0,1,0)</f>
        <v>0</v>
      </c>
      <c r="R26">
        <f>IF(SUMPRODUCT(('alle Dateien'!B:B=Bohrungen!B26)*('alle Dateien'!D:D="tsf"))&gt;0,1,0)</f>
        <v>0</v>
      </c>
      <c r="S26">
        <f>IF(SUMPRODUCT(('alle Dateien'!B:B=Bohrungen!B26)*('alle Dateien'!D:D="sch"))&gt;0,1,0)</f>
        <v>0</v>
      </c>
      <c r="U26" t="str">
        <f t="shared" si="0"/>
        <v>10000000000000000</v>
      </c>
      <c r="V26" t="str">
        <f>VLOOKUP(U26,Kategorie!B:C,2,FALSE)</f>
        <v>pdf</v>
      </c>
    </row>
    <row r="27" spans="1:22" x14ac:dyDescent="0.25">
      <c r="A27">
        <v>26</v>
      </c>
      <c r="B27" t="s">
        <v>2113</v>
      </c>
      <c r="C27" s="2">
        <f>IF(SUMPRODUCT(('alle Dateien'!B:B=Bohrungen!B27)*('alle Dateien'!D:D="pdf"))&gt;0,1,0)</f>
        <v>1</v>
      </c>
      <c r="D27">
        <f>IF(SUMPRODUCT(('alle Dateien'!B:B=Bohrungen!B27)*('alle Dateien'!D:D="tif"))&gt;0,1,0)</f>
        <v>0</v>
      </c>
      <c r="E27">
        <f>IF(SUMPRODUCT(('alle Dateien'!B:B=Bohrungen!B27)*('alle Dateien'!D:D="sdg"))&gt;0,1,0)</f>
        <v>0</v>
      </c>
      <c r="F27">
        <f>IF(SUMPRODUCT(('alle Dateien'!B:B=Bohrungen!B27)*('alle Dateien'!D:D="xlsx"))&gt;0,1,0)</f>
        <v>0</v>
      </c>
      <c r="G27">
        <f>IF(SUMPRODUCT(('alle Dateien'!B:B=Bohrungen!B27)*('alle Dateien'!D:D="docx"))&gt;0,1,0)</f>
        <v>0</v>
      </c>
      <c r="H27">
        <f>IF(SUMPRODUCT(('alle Dateien'!B:B=Bohrungen!B27)*('alle Dateien'!D:D="las"))&gt;0,1,0)</f>
        <v>0</v>
      </c>
      <c r="I27">
        <f>IF(SUMPRODUCT(('alle Dateien'!B:B=Bohrungen!B27)*('alle Dateien'!D:D="db"))&gt;0,1,0)</f>
        <v>0</v>
      </c>
      <c r="J27">
        <f>IF(SUMPRODUCT(('alle Dateien'!B:B=Bohrungen!B27)*('alle Dateien'!D:D="rhistory"))&gt;0,1,0)</f>
        <v>0</v>
      </c>
      <c r="K27">
        <f>IF(SUMPRODUCT(('alle Dateien'!B:B=Bohrungen!B27)*('alle Dateien'!D:D="mdb"))&gt;0,1,0)</f>
        <v>0</v>
      </c>
      <c r="L27">
        <f>IF(SUMPRODUCT(('alle Dateien'!B:B=Bohrungen!B27)*('alle Dateien'!D:D="xml"))&gt;0,1,0)</f>
        <v>0</v>
      </c>
      <c r="M27">
        <f>IF(SUMPRODUCT(('alle Dateien'!B:B=Bohrungen!B27)*('alle Dateien'!D:D="jpg"))&gt;0,1,0)</f>
        <v>0</v>
      </c>
      <c r="N27">
        <f>IF(SUMPRODUCT(('alle Dateien'!B:B=Bohrungen!B27)*('alle Dateien'!D:D="png"))&gt;0,1,0)</f>
        <v>0</v>
      </c>
      <c r="O27">
        <f>IF(SUMPRODUCT(('alle Dateien'!B:B=Bohrungen!B27)*('alle Dateien'!D:D="xls"))&gt;0,1,0)</f>
        <v>0</v>
      </c>
      <c r="P27">
        <f>IF(SUMPRODUCT(('alle Dateien'!B:B=Bohrungen!B27)*('alle Dateien'!D:D="txt"))&gt;0,1,0)</f>
        <v>0</v>
      </c>
      <c r="Q27">
        <f>IF(SUMPRODUCT(('alle Dateien'!B:B=Bohrungen!B27)*('alle Dateien'!D:D="ZIP oder R"))&gt;0,1,0)</f>
        <v>0</v>
      </c>
      <c r="R27">
        <f>IF(SUMPRODUCT(('alle Dateien'!B:B=Bohrungen!B27)*('alle Dateien'!D:D="tsf"))&gt;0,1,0)</f>
        <v>0</v>
      </c>
      <c r="S27">
        <f>IF(SUMPRODUCT(('alle Dateien'!B:B=Bohrungen!B27)*('alle Dateien'!D:D="sch"))&gt;0,1,0)</f>
        <v>0</v>
      </c>
      <c r="U27" t="str">
        <f t="shared" si="0"/>
        <v>10000000000000000</v>
      </c>
      <c r="V27" t="str">
        <f>VLOOKUP(U27,Kategorie!B:C,2,FALSE)</f>
        <v>pdf</v>
      </c>
    </row>
    <row r="28" spans="1:22" x14ac:dyDescent="0.25">
      <c r="A28">
        <v>27</v>
      </c>
      <c r="B28" t="s">
        <v>2114</v>
      </c>
      <c r="C28" s="2">
        <f>IF(SUMPRODUCT(('alle Dateien'!B:B=Bohrungen!B28)*('alle Dateien'!D:D="pdf"))&gt;0,1,0)</f>
        <v>1</v>
      </c>
      <c r="D28">
        <f>IF(SUMPRODUCT(('alle Dateien'!B:B=Bohrungen!B28)*('alle Dateien'!D:D="tif"))&gt;0,1,0)</f>
        <v>0</v>
      </c>
      <c r="E28">
        <f>IF(SUMPRODUCT(('alle Dateien'!B:B=Bohrungen!B28)*('alle Dateien'!D:D="sdg"))&gt;0,1,0)</f>
        <v>0</v>
      </c>
      <c r="F28">
        <f>IF(SUMPRODUCT(('alle Dateien'!B:B=Bohrungen!B28)*('alle Dateien'!D:D="xlsx"))&gt;0,1,0)</f>
        <v>0</v>
      </c>
      <c r="G28">
        <f>IF(SUMPRODUCT(('alle Dateien'!B:B=Bohrungen!B28)*('alle Dateien'!D:D="docx"))&gt;0,1,0)</f>
        <v>0</v>
      </c>
      <c r="H28">
        <f>IF(SUMPRODUCT(('alle Dateien'!B:B=Bohrungen!B28)*('alle Dateien'!D:D="las"))&gt;0,1,0)</f>
        <v>0</v>
      </c>
      <c r="I28">
        <f>IF(SUMPRODUCT(('alle Dateien'!B:B=Bohrungen!B28)*('alle Dateien'!D:D="db"))&gt;0,1,0)</f>
        <v>0</v>
      </c>
      <c r="J28">
        <f>IF(SUMPRODUCT(('alle Dateien'!B:B=Bohrungen!B28)*('alle Dateien'!D:D="rhistory"))&gt;0,1,0)</f>
        <v>0</v>
      </c>
      <c r="K28">
        <f>IF(SUMPRODUCT(('alle Dateien'!B:B=Bohrungen!B28)*('alle Dateien'!D:D="mdb"))&gt;0,1,0)</f>
        <v>0</v>
      </c>
      <c r="L28">
        <f>IF(SUMPRODUCT(('alle Dateien'!B:B=Bohrungen!B28)*('alle Dateien'!D:D="xml"))&gt;0,1,0)</f>
        <v>0</v>
      </c>
      <c r="M28">
        <f>IF(SUMPRODUCT(('alle Dateien'!B:B=Bohrungen!B28)*('alle Dateien'!D:D="jpg"))&gt;0,1,0)</f>
        <v>0</v>
      </c>
      <c r="N28">
        <f>IF(SUMPRODUCT(('alle Dateien'!B:B=Bohrungen!B28)*('alle Dateien'!D:D="png"))&gt;0,1,0)</f>
        <v>0</v>
      </c>
      <c r="O28">
        <f>IF(SUMPRODUCT(('alle Dateien'!B:B=Bohrungen!B28)*('alle Dateien'!D:D="xls"))&gt;0,1,0)</f>
        <v>0</v>
      </c>
      <c r="P28">
        <f>IF(SUMPRODUCT(('alle Dateien'!B:B=Bohrungen!B28)*('alle Dateien'!D:D="txt"))&gt;0,1,0)</f>
        <v>0</v>
      </c>
      <c r="Q28">
        <f>IF(SUMPRODUCT(('alle Dateien'!B:B=Bohrungen!B28)*('alle Dateien'!D:D="ZIP oder R"))&gt;0,1,0)</f>
        <v>0</v>
      </c>
      <c r="R28">
        <f>IF(SUMPRODUCT(('alle Dateien'!B:B=Bohrungen!B28)*('alle Dateien'!D:D="tsf"))&gt;0,1,0)</f>
        <v>0</v>
      </c>
      <c r="S28">
        <f>IF(SUMPRODUCT(('alle Dateien'!B:B=Bohrungen!B28)*('alle Dateien'!D:D="sch"))&gt;0,1,0)</f>
        <v>0</v>
      </c>
      <c r="U28" t="str">
        <f t="shared" si="0"/>
        <v>10000000000000000</v>
      </c>
      <c r="V28" t="str">
        <f>VLOOKUP(U28,Kategorie!B:C,2,FALSE)</f>
        <v>pdf</v>
      </c>
    </row>
    <row r="29" spans="1:22" x14ac:dyDescent="0.25">
      <c r="A29">
        <v>28</v>
      </c>
      <c r="B29" t="s">
        <v>2115</v>
      </c>
      <c r="C29" s="2">
        <f>IF(SUMPRODUCT(('alle Dateien'!B:B=Bohrungen!B29)*('alle Dateien'!D:D="pdf"))&gt;0,1,0)</f>
        <v>1</v>
      </c>
      <c r="D29">
        <f>IF(SUMPRODUCT(('alle Dateien'!B:B=Bohrungen!B29)*('alle Dateien'!D:D="tif"))&gt;0,1,0)</f>
        <v>0</v>
      </c>
      <c r="E29">
        <f>IF(SUMPRODUCT(('alle Dateien'!B:B=Bohrungen!B29)*('alle Dateien'!D:D="sdg"))&gt;0,1,0)</f>
        <v>1</v>
      </c>
      <c r="F29">
        <f>IF(SUMPRODUCT(('alle Dateien'!B:B=Bohrungen!B29)*('alle Dateien'!D:D="xlsx"))&gt;0,1,0)</f>
        <v>1</v>
      </c>
      <c r="G29">
        <f>IF(SUMPRODUCT(('alle Dateien'!B:B=Bohrungen!B29)*('alle Dateien'!D:D="docx"))&gt;0,1,0)</f>
        <v>0</v>
      </c>
      <c r="H29">
        <f>IF(SUMPRODUCT(('alle Dateien'!B:B=Bohrungen!B29)*('alle Dateien'!D:D="las"))&gt;0,1,0)</f>
        <v>1</v>
      </c>
      <c r="I29">
        <f>IF(SUMPRODUCT(('alle Dateien'!B:B=Bohrungen!B29)*('alle Dateien'!D:D="db"))&gt;0,1,0)</f>
        <v>0</v>
      </c>
      <c r="J29">
        <f>IF(SUMPRODUCT(('alle Dateien'!B:B=Bohrungen!B29)*('alle Dateien'!D:D="rhistory"))&gt;0,1,0)</f>
        <v>0</v>
      </c>
      <c r="K29">
        <f>IF(SUMPRODUCT(('alle Dateien'!B:B=Bohrungen!B29)*('alle Dateien'!D:D="mdb"))&gt;0,1,0)</f>
        <v>0</v>
      </c>
      <c r="L29">
        <f>IF(SUMPRODUCT(('alle Dateien'!B:B=Bohrungen!B29)*('alle Dateien'!D:D="xml"))&gt;0,1,0)</f>
        <v>0</v>
      </c>
      <c r="M29">
        <f>IF(SUMPRODUCT(('alle Dateien'!B:B=Bohrungen!B29)*('alle Dateien'!D:D="jpg"))&gt;0,1,0)</f>
        <v>0</v>
      </c>
      <c r="N29">
        <f>IF(SUMPRODUCT(('alle Dateien'!B:B=Bohrungen!B29)*('alle Dateien'!D:D="png"))&gt;0,1,0)</f>
        <v>0</v>
      </c>
      <c r="O29">
        <f>IF(SUMPRODUCT(('alle Dateien'!B:B=Bohrungen!B29)*('alle Dateien'!D:D="xls"))&gt;0,1,0)</f>
        <v>0</v>
      </c>
      <c r="P29">
        <f>IF(SUMPRODUCT(('alle Dateien'!B:B=Bohrungen!B29)*('alle Dateien'!D:D="txt"))&gt;0,1,0)</f>
        <v>0</v>
      </c>
      <c r="Q29">
        <f>IF(SUMPRODUCT(('alle Dateien'!B:B=Bohrungen!B29)*('alle Dateien'!D:D="ZIP oder R"))&gt;0,1,0)</f>
        <v>0</v>
      </c>
      <c r="R29">
        <f>IF(SUMPRODUCT(('alle Dateien'!B:B=Bohrungen!B29)*('alle Dateien'!D:D="tsf"))&gt;0,1,0)</f>
        <v>0</v>
      </c>
      <c r="S29">
        <f>IF(SUMPRODUCT(('alle Dateien'!B:B=Bohrungen!B29)*('alle Dateien'!D:D="sch"))&gt;0,1,0)</f>
        <v>0</v>
      </c>
      <c r="U29" t="str">
        <f t="shared" si="0"/>
        <v>10110100000000000</v>
      </c>
      <c r="V29" t="str">
        <f>VLOOKUP(U29,Kategorie!B:C,2,FALSE)</f>
        <v>pdf/ sdg/ xlsx/ las</v>
      </c>
    </row>
    <row r="30" spans="1:22" x14ac:dyDescent="0.25">
      <c r="A30">
        <v>29</v>
      </c>
      <c r="B30" t="s">
        <v>2116</v>
      </c>
      <c r="C30" s="2">
        <f>IF(SUMPRODUCT(('alle Dateien'!B:B=Bohrungen!B30)*('alle Dateien'!D:D="pdf"))&gt;0,1,0)</f>
        <v>1</v>
      </c>
      <c r="D30">
        <f>IF(SUMPRODUCT(('alle Dateien'!B:B=Bohrungen!B30)*('alle Dateien'!D:D="tif"))&gt;0,1,0)</f>
        <v>0</v>
      </c>
      <c r="E30">
        <f>IF(SUMPRODUCT(('alle Dateien'!B:B=Bohrungen!B30)*('alle Dateien'!D:D="sdg"))&gt;0,1,0)</f>
        <v>0</v>
      </c>
      <c r="F30">
        <f>IF(SUMPRODUCT(('alle Dateien'!B:B=Bohrungen!B30)*('alle Dateien'!D:D="xlsx"))&gt;0,1,0)</f>
        <v>0</v>
      </c>
      <c r="G30">
        <f>IF(SUMPRODUCT(('alle Dateien'!B:B=Bohrungen!B30)*('alle Dateien'!D:D="docx"))&gt;0,1,0)</f>
        <v>0</v>
      </c>
      <c r="H30">
        <f>IF(SUMPRODUCT(('alle Dateien'!B:B=Bohrungen!B30)*('alle Dateien'!D:D="las"))&gt;0,1,0)</f>
        <v>0</v>
      </c>
      <c r="I30">
        <f>IF(SUMPRODUCT(('alle Dateien'!B:B=Bohrungen!B30)*('alle Dateien'!D:D="db"))&gt;0,1,0)</f>
        <v>0</v>
      </c>
      <c r="J30">
        <f>IF(SUMPRODUCT(('alle Dateien'!B:B=Bohrungen!B30)*('alle Dateien'!D:D="rhistory"))&gt;0,1,0)</f>
        <v>0</v>
      </c>
      <c r="K30">
        <f>IF(SUMPRODUCT(('alle Dateien'!B:B=Bohrungen!B30)*('alle Dateien'!D:D="mdb"))&gt;0,1,0)</f>
        <v>0</v>
      </c>
      <c r="L30">
        <f>IF(SUMPRODUCT(('alle Dateien'!B:B=Bohrungen!B30)*('alle Dateien'!D:D="xml"))&gt;0,1,0)</f>
        <v>0</v>
      </c>
      <c r="M30">
        <f>IF(SUMPRODUCT(('alle Dateien'!B:B=Bohrungen!B30)*('alle Dateien'!D:D="jpg"))&gt;0,1,0)</f>
        <v>0</v>
      </c>
      <c r="N30">
        <f>IF(SUMPRODUCT(('alle Dateien'!B:B=Bohrungen!B30)*('alle Dateien'!D:D="png"))&gt;0,1,0)</f>
        <v>0</v>
      </c>
      <c r="O30">
        <f>IF(SUMPRODUCT(('alle Dateien'!B:B=Bohrungen!B30)*('alle Dateien'!D:D="xls"))&gt;0,1,0)</f>
        <v>0</v>
      </c>
      <c r="P30">
        <f>IF(SUMPRODUCT(('alle Dateien'!B:B=Bohrungen!B30)*('alle Dateien'!D:D="txt"))&gt;0,1,0)</f>
        <v>0</v>
      </c>
      <c r="Q30">
        <f>IF(SUMPRODUCT(('alle Dateien'!B:B=Bohrungen!B30)*('alle Dateien'!D:D="ZIP oder R"))&gt;0,1,0)</f>
        <v>0</v>
      </c>
      <c r="R30">
        <f>IF(SUMPRODUCT(('alle Dateien'!B:B=Bohrungen!B30)*('alle Dateien'!D:D="tsf"))&gt;0,1,0)</f>
        <v>0</v>
      </c>
      <c r="S30">
        <f>IF(SUMPRODUCT(('alle Dateien'!B:B=Bohrungen!B30)*('alle Dateien'!D:D="sch"))&gt;0,1,0)</f>
        <v>0</v>
      </c>
      <c r="U30" t="str">
        <f t="shared" si="0"/>
        <v>10000000000000000</v>
      </c>
      <c r="V30" t="str">
        <f>VLOOKUP(U30,Kategorie!B:C,2,FALSE)</f>
        <v>pdf</v>
      </c>
    </row>
    <row r="31" spans="1:22" x14ac:dyDescent="0.25">
      <c r="A31">
        <v>30</v>
      </c>
      <c r="B31" t="s">
        <v>2117</v>
      </c>
      <c r="C31" s="2">
        <f>IF(SUMPRODUCT(('alle Dateien'!B:B=Bohrungen!B31)*('alle Dateien'!D:D="pdf"))&gt;0,1,0)</f>
        <v>1</v>
      </c>
      <c r="D31">
        <f>IF(SUMPRODUCT(('alle Dateien'!B:B=Bohrungen!B31)*('alle Dateien'!D:D="tif"))&gt;0,1,0)</f>
        <v>0</v>
      </c>
      <c r="E31">
        <f>IF(SUMPRODUCT(('alle Dateien'!B:B=Bohrungen!B31)*('alle Dateien'!D:D="sdg"))&gt;0,1,0)</f>
        <v>1</v>
      </c>
      <c r="F31">
        <f>IF(SUMPRODUCT(('alle Dateien'!B:B=Bohrungen!B31)*('alle Dateien'!D:D="xlsx"))&gt;0,1,0)</f>
        <v>1</v>
      </c>
      <c r="G31">
        <f>IF(SUMPRODUCT(('alle Dateien'!B:B=Bohrungen!B31)*('alle Dateien'!D:D="docx"))&gt;0,1,0)</f>
        <v>0</v>
      </c>
      <c r="H31">
        <f>IF(SUMPRODUCT(('alle Dateien'!B:B=Bohrungen!B31)*('alle Dateien'!D:D="las"))&gt;0,1,0)</f>
        <v>1</v>
      </c>
      <c r="I31">
        <f>IF(SUMPRODUCT(('alle Dateien'!B:B=Bohrungen!B31)*('alle Dateien'!D:D="db"))&gt;0,1,0)</f>
        <v>0</v>
      </c>
      <c r="J31">
        <f>IF(SUMPRODUCT(('alle Dateien'!B:B=Bohrungen!B31)*('alle Dateien'!D:D="rhistory"))&gt;0,1,0)</f>
        <v>0</v>
      </c>
      <c r="K31">
        <f>IF(SUMPRODUCT(('alle Dateien'!B:B=Bohrungen!B31)*('alle Dateien'!D:D="mdb"))&gt;0,1,0)</f>
        <v>0</v>
      </c>
      <c r="L31">
        <f>IF(SUMPRODUCT(('alle Dateien'!B:B=Bohrungen!B31)*('alle Dateien'!D:D="xml"))&gt;0,1,0)</f>
        <v>0</v>
      </c>
      <c r="M31">
        <f>IF(SUMPRODUCT(('alle Dateien'!B:B=Bohrungen!B31)*('alle Dateien'!D:D="jpg"))&gt;0,1,0)</f>
        <v>1</v>
      </c>
      <c r="N31">
        <f>IF(SUMPRODUCT(('alle Dateien'!B:B=Bohrungen!B31)*('alle Dateien'!D:D="png"))&gt;0,1,0)</f>
        <v>0</v>
      </c>
      <c r="O31">
        <f>IF(SUMPRODUCT(('alle Dateien'!B:B=Bohrungen!B31)*('alle Dateien'!D:D="xls"))&gt;0,1,0)</f>
        <v>1</v>
      </c>
      <c r="P31">
        <f>IF(SUMPRODUCT(('alle Dateien'!B:B=Bohrungen!B31)*('alle Dateien'!D:D="txt"))&gt;0,1,0)</f>
        <v>0</v>
      </c>
      <c r="Q31">
        <f>IF(SUMPRODUCT(('alle Dateien'!B:B=Bohrungen!B31)*('alle Dateien'!D:D="ZIP oder R"))&gt;0,1,0)</f>
        <v>1</v>
      </c>
      <c r="R31">
        <f>IF(SUMPRODUCT(('alle Dateien'!B:B=Bohrungen!B31)*('alle Dateien'!D:D="tsf"))&gt;0,1,0)</f>
        <v>0</v>
      </c>
      <c r="S31">
        <f>IF(SUMPRODUCT(('alle Dateien'!B:B=Bohrungen!B31)*('alle Dateien'!D:D="sch"))&gt;0,1,0)</f>
        <v>0</v>
      </c>
      <c r="U31" t="str">
        <f t="shared" si="0"/>
        <v>10110100001010100</v>
      </c>
      <c r="V31" t="str">
        <f>VLOOKUP(U31,Kategorie!B:C,2,FALSE)</f>
        <v>pdf/ sdg/ xlsx/ las/ jpg/ xls/ ZIP oder R</v>
      </c>
    </row>
    <row r="32" spans="1:22" x14ac:dyDescent="0.25">
      <c r="A32">
        <v>31</v>
      </c>
      <c r="B32" t="s">
        <v>2118</v>
      </c>
      <c r="C32" s="2">
        <f>IF(SUMPRODUCT(('alle Dateien'!B:B=Bohrungen!B32)*('alle Dateien'!D:D="pdf"))&gt;0,1,0)</f>
        <v>1</v>
      </c>
      <c r="D32">
        <f>IF(SUMPRODUCT(('alle Dateien'!B:B=Bohrungen!B32)*('alle Dateien'!D:D="tif"))&gt;0,1,0)</f>
        <v>0</v>
      </c>
      <c r="E32">
        <f>IF(SUMPRODUCT(('alle Dateien'!B:B=Bohrungen!B32)*('alle Dateien'!D:D="sdg"))&gt;0,1,0)</f>
        <v>0</v>
      </c>
      <c r="F32">
        <f>IF(SUMPRODUCT(('alle Dateien'!B:B=Bohrungen!B32)*('alle Dateien'!D:D="xlsx"))&gt;0,1,0)</f>
        <v>0</v>
      </c>
      <c r="G32">
        <f>IF(SUMPRODUCT(('alle Dateien'!B:B=Bohrungen!B32)*('alle Dateien'!D:D="docx"))&gt;0,1,0)</f>
        <v>0</v>
      </c>
      <c r="H32">
        <f>IF(SUMPRODUCT(('alle Dateien'!B:B=Bohrungen!B32)*('alle Dateien'!D:D="las"))&gt;0,1,0)</f>
        <v>0</v>
      </c>
      <c r="I32">
        <f>IF(SUMPRODUCT(('alle Dateien'!B:B=Bohrungen!B32)*('alle Dateien'!D:D="db"))&gt;0,1,0)</f>
        <v>0</v>
      </c>
      <c r="J32">
        <f>IF(SUMPRODUCT(('alle Dateien'!B:B=Bohrungen!B32)*('alle Dateien'!D:D="rhistory"))&gt;0,1,0)</f>
        <v>0</v>
      </c>
      <c r="K32">
        <f>IF(SUMPRODUCT(('alle Dateien'!B:B=Bohrungen!B32)*('alle Dateien'!D:D="mdb"))&gt;0,1,0)</f>
        <v>0</v>
      </c>
      <c r="L32">
        <f>IF(SUMPRODUCT(('alle Dateien'!B:B=Bohrungen!B32)*('alle Dateien'!D:D="xml"))&gt;0,1,0)</f>
        <v>0</v>
      </c>
      <c r="M32">
        <f>IF(SUMPRODUCT(('alle Dateien'!B:B=Bohrungen!B32)*('alle Dateien'!D:D="jpg"))&gt;0,1,0)</f>
        <v>0</v>
      </c>
      <c r="N32">
        <f>IF(SUMPRODUCT(('alle Dateien'!B:B=Bohrungen!B32)*('alle Dateien'!D:D="png"))&gt;0,1,0)</f>
        <v>0</v>
      </c>
      <c r="O32">
        <f>IF(SUMPRODUCT(('alle Dateien'!B:B=Bohrungen!B32)*('alle Dateien'!D:D="xls"))&gt;0,1,0)</f>
        <v>0</v>
      </c>
      <c r="P32">
        <f>IF(SUMPRODUCT(('alle Dateien'!B:B=Bohrungen!B32)*('alle Dateien'!D:D="txt"))&gt;0,1,0)</f>
        <v>0</v>
      </c>
      <c r="Q32">
        <f>IF(SUMPRODUCT(('alle Dateien'!B:B=Bohrungen!B32)*('alle Dateien'!D:D="ZIP oder R"))&gt;0,1,0)</f>
        <v>0</v>
      </c>
      <c r="R32">
        <f>IF(SUMPRODUCT(('alle Dateien'!B:B=Bohrungen!B32)*('alle Dateien'!D:D="tsf"))&gt;0,1,0)</f>
        <v>0</v>
      </c>
      <c r="S32">
        <f>IF(SUMPRODUCT(('alle Dateien'!B:B=Bohrungen!B32)*('alle Dateien'!D:D="sch"))&gt;0,1,0)</f>
        <v>0</v>
      </c>
      <c r="U32" t="str">
        <f t="shared" si="0"/>
        <v>10000000000000000</v>
      </c>
      <c r="V32" t="str">
        <f>VLOOKUP(U32,Kategorie!B:C,2,FALSE)</f>
        <v>pdf</v>
      </c>
    </row>
    <row r="33" spans="1:22" x14ac:dyDescent="0.25">
      <c r="A33">
        <v>32</v>
      </c>
      <c r="B33" t="s">
        <v>2119</v>
      </c>
      <c r="C33" s="2">
        <f>IF(SUMPRODUCT(('alle Dateien'!B:B=Bohrungen!B33)*('alle Dateien'!D:D="pdf"))&gt;0,1,0)</f>
        <v>0</v>
      </c>
      <c r="D33">
        <f>IF(SUMPRODUCT(('alle Dateien'!B:B=Bohrungen!B33)*('alle Dateien'!D:D="tif"))&gt;0,1,0)</f>
        <v>1</v>
      </c>
      <c r="E33">
        <f>IF(SUMPRODUCT(('alle Dateien'!B:B=Bohrungen!B33)*('alle Dateien'!D:D="sdg"))&gt;0,1,0)</f>
        <v>0</v>
      </c>
      <c r="F33">
        <f>IF(SUMPRODUCT(('alle Dateien'!B:B=Bohrungen!B33)*('alle Dateien'!D:D="xlsx"))&gt;0,1,0)</f>
        <v>0</v>
      </c>
      <c r="G33">
        <f>IF(SUMPRODUCT(('alle Dateien'!B:B=Bohrungen!B33)*('alle Dateien'!D:D="docx"))&gt;0,1,0)</f>
        <v>0</v>
      </c>
      <c r="H33">
        <f>IF(SUMPRODUCT(('alle Dateien'!B:B=Bohrungen!B33)*('alle Dateien'!D:D="las"))&gt;0,1,0)</f>
        <v>0</v>
      </c>
      <c r="I33">
        <f>IF(SUMPRODUCT(('alle Dateien'!B:B=Bohrungen!B33)*('alle Dateien'!D:D="db"))&gt;0,1,0)</f>
        <v>0</v>
      </c>
      <c r="J33">
        <f>IF(SUMPRODUCT(('alle Dateien'!B:B=Bohrungen!B33)*('alle Dateien'!D:D="rhistory"))&gt;0,1,0)</f>
        <v>0</v>
      </c>
      <c r="K33">
        <f>IF(SUMPRODUCT(('alle Dateien'!B:B=Bohrungen!B33)*('alle Dateien'!D:D="mdb"))&gt;0,1,0)</f>
        <v>0</v>
      </c>
      <c r="L33">
        <f>IF(SUMPRODUCT(('alle Dateien'!B:B=Bohrungen!B33)*('alle Dateien'!D:D="xml"))&gt;0,1,0)</f>
        <v>0</v>
      </c>
      <c r="M33">
        <f>IF(SUMPRODUCT(('alle Dateien'!B:B=Bohrungen!B33)*('alle Dateien'!D:D="jpg"))&gt;0,1,0)</f>
        <v>0</v>
      </c>
      <c r="N33">
        <f>IF(SUMPRODUCT(('alle Dateien'!B:B=Bohrungen!B33)*('alle Dateien'!D:D="png"))&gt;0,1,0)</f>
        <v>0</v>
      </c>
      <c r="O33">
        <f>IF(SUMPRODUCT(('alle Dateien'!B:B=Bohrungen!B33)*('alle Dateien'!D:D="xls"))&gt;0,1,0)</f>
        <v>0</v>
      </c>
      <c r="P33">
        <f>IF(SUMPRODUCT(('alle Dateien'!B:B=Bohrungen!B33)*('alle Dateien'!D:D="txt"))&gt;0,1,0)</f>
        <v>0</v>
      </c>
      <c r="Q33">
        <f>IF(SUMPRODUCT(('alle Dateien'!B:B=Bohrungen!B33)*('alle Dateien'!D:D="ZIP oder R"))&gt;0,1,0)</f>
        <v>0</v>
      </c>
      <c r="R33">
        <f>IF(SUMPRODUCT(('alle Dateien'!B:B=Bohrungen!B33)*('alle Dateien'!D:D="tsf"))&gt;0,1,0)</f>
        <v>0</v>
      </c>
      <c r="S33">
        <f>IF(SUMPRODUCT(('alle Dateien'!B:B=Bohrungen!B33)*('alle Dateien'!D:D="sch"))&gt;0,1,0)</f>
        <v>0</v>
      </c>
      <c r="U33" t="str">
        <f t="shared" si="0"/>
        <v>01000000000000000</v>
      </c>
      <c r="V33" t="str">
        <f>VLOOKUP(U33,Kategorie!B:C,2,FALSE)</f>
        <v>tif</v>
      </c>
    </row>
    <row r="34" spans="1:22" x14ac:dyDescent="0.25">
      <c r="A34">
        <v>33</v>
      </c>
      <c r="B34" t="s">
        <v>2120</v>
      </c>
      <c r="C34" s="2">
        <f>IF(SUMPRODUCT(('alle Dateien'!B:B=Bohrungen!B34)*('alle Dateien'!D:D="pdf"))&gt;0,1,0)</f>
        <v>0</v>
      </c>
      <c r="D34">
        <f>IF(SUMPRODUCT(('alle Dateien'!B:B=Bohrungen!B34)*('alle Dateien'!D:D="tif"))&gt;0,1,0)</f>
        <v>0</v>
      </c>
      <c r="E34">
        <f>IF(SUMPRODUCT(('alle Dateien'!B:B=Bohrungen!B34)*('alle Dateien'!D:D="sdg"))&gt;0,1,0)</f>
        <v>1</v>
      </c>
      <c r="F34">
        <f>IF(SUMPRODUCT(('alle Dateien'!B:B=Bohrungen!B34)*('alle Dateien'!D:D="xlsx"))&gt;0,1,0)</f>
        <v>1</v>
      </c>
      <c r="G34">
        <f>IF(SUMPRODUCT(('alle Dateien'!B:B=Bohrungen!B34)*('alle Dateien'!D:D="docx"))&gt;0,1,0)</f>
        <v>0</v>
      </c>
      <c r="H34">
        <f>IF(SUMPRODUCT(('alle Dateien'!B:B=Bohrungen!B34)*('alle Dateien'!D:D="las"))&gt;0,1,0)</f>
        <v>1</v>
      </c>
      <c r="I34">
        <f>IF(SUMPRODUCT(('alle Dateien'!B:B=Bohrungen!B34)*('alle Dateien'!D:D="db"))&gt;0,1,0)</f>
        <v>0</v>
      </c>
      <c r="J34">
        <f>IF(SUMPRODUCT(('alle Dateien'!B:B=Bohrungen!B34)*('alle Dateien'!D:D="rhistory"))&gt;0,1,0)</f>
        <v>0</v>
      </c>
      <c r="K34">
        <f>IF(SUMPRODUCT(('alle Dateien'!B:B=Bohrungen!B34)*('alle Dateien'!D:D="mdb"))&gt;0,1,0)</f>
        <v>0</v>
      </c>
      <c r="L34">
        <f>IF(SUMPRODUCT(('alle Dateien'!B:B=Bohrungen!B34)*('alle Dateien'!D:D="xml"))&gt;0,1,0)</f>
        <v>0</v>
      </c>
      <c r="M34">
        <f>IF(SUMPRODUCT(('alle Dateien'!B:B=Bohrungen!B34)*('alle Dateien'!D:D="jpg"))&gt;0,1,0)</f>
        <v>0</v>
      </c>
      <c r="N34">
        <f>IF(SUMPRODUCT(('alle Dateien'!B:B=Bohrungen!B34)*('alle Dateien'!D:D="png"))&gt;0,1,0)</f>
        <v>0</v>
      </c>
      <c r="O34">
        <f>IF(SUMPRODUCT(('alle Dateien'!B:B=Bohrungen!B34)*('alle Dateien'!D:D="xls"))&gt;0,1,0)</f>
        <v>0</v>
      </c>
      <c r="P34">
        <f>IF(SUMPRODUCT(('alle Dateien'!B:B=Bohrungen!B34)*('alle Dateien'!D:D="txt"))&gt;0,1,0)</f>
        <v>0</v>
      </c>
      <c r="Q34">
        <f>IF(SUMPRODUCT(('alle Dateien'!B:B=Bohrungen!B34)*('alle Dateien'!D:D="ZIP oder R"))&gt;0,1,0)</f>
        <v>0</v>
      </c>
      <c r="R34">
        <f>IF(SUMPRODUCT(('alle Dateien'!B:B=Bohrungen!B34)*('alle Dateien'!D:D="tsf"))&gt;0,1,0)</f>
        <v>0</v>
      </c>
      <c r="S34">
        <f>IF(SUMPRODUCT(('alle Dateien'!B:B=Bohrungen!B34)*('alle Dateien'!D:D="sch"))&gt;0,1,0)</f>
        <v>0</v>
      </c>
      <c r="U34" t="str">
        <f t="shared" ref="U34:U65" si="1">CONCATENATE(C34,D34,E34,F34,G34,H34,I34,J34,K34,L34,M34,N34,O34,P34,Q34,R34,S34,)</f>
        <v>00110100000000000</v>
      </c>
      <c r="V34" t="str">
        <f>VLOOKUP(U34,Kategorie!B:C,2,FALSE)</f>
        <v>sdg/ xlsx/ las</v>
      </c>
    </row>
    <row r="35" spans="1:22" x14ac:dyDescent="0.25">
      <c r="A35">
        <v>34</v>
      </c>
      <c r="B35" t="s">
        <v>2270</v>
      </c>
      <c r="C35" s="2">
        <f>IF(SUMPRODUCT(('alle Dateien'!B:B=Bohrungen!B35)*('alle Dateien'!D:D="pdf"))&gt;0,1,0)</f>
        <v>1</v>
      </c>
      <c r="D35">
        <f>IF(SUMPRODUCT(('alle Dateien'!B:B=Bohrungen!B35)*('alle Dateien'!D:D="tif"))&gt;0,1,0)</f>
        <v>0</v>
      </c>
      <c r="E35">
        <f>IF(SUMPRODUCT(('alle Dateien'!B:B=Bohrungen!B35)*('alle Dateien'!D:D="sdg"))&gt;0,1,0)</f>
        <v>1</v>
      </c>
      <c r="F35">
        <f>IF(SUMPRODUCT(('alle Dateien'!B:B=Bohrungen!B35)*('alle Dateien'!D:D="xlsx"))&gt;0,1,0)</f>
        <v>1</v>
      </c>
      <c r="G35">
        <f>IF(SUMPRODUCT(('alle Dateien'!B:B=Bohrungen!B35)*('alle Dateien'!D:D="docx"))&gt;0,1,0)</f>
        <v>0</v>
      </c>
      <c r="H35">
        <f>IF(SUMPRODUCT(('alle Dateien'!B:B=Bohrungen!B35)*('alle Dateien'!D:D="las"))&gt;0,1,0)</f>
        <v>0</v>
      </c>
      <c r="I35">
        <f>IF(SUMPRODUCT(('alle Dateien'!B:B=Bohrungen!B35)*('alle Dateien'!D:D="db"))&gt;0,1,0)</f>
        <v>0</v>
      </c>
      <c r="J35">
        <f>IF(SUMPRODUCT(('alle Dateien'!B:B=Bohrungen!B35)*('alle Dateien'!D:D="rhistory"))&gt;0,1,0)</f>
        <v>0</v>
      </c>
      <c r="K35">
        <f>IF(SUMPRODUCT(('alle Dateien'!B:B=Bohrungen!B35)*('alle Dateien'!D:D="mdb"))&gt;0,1,0)</f>
        <v>0</v>
      </c>
      <c r="L35">
        <f>IF(SUMPRODUCT(('alle Dateien'!B:B=Bohrungen!B35)*('alle Dateien'!D:D="xml"))&gt;0,1,0)</f>
        <v>0</v>
      </c>
      <c r="M35">
        <f>IF(SUMPRODUCT(('alle Dateien'!B:B=Bohrungen!B35)*('alle Dateien'!D:D="jpg"))&gt;0,1,0)</f>
        <v>0</v>
      </c>
      <c r="N35">
        <f>IF(SUMPRODUCT(('alle Dateien'!B:B=Bohrungen!B35)*('alle Dateien'!D:D="png"))&gt;0,1,0)</f>
        <v>0</v>
      </c>
      <c r="O35">
        <f>IF(SUMPRODUCT(('alle Dateien'!B:B=Bohrungen!B35)*('alle Dateien'!D:D="xls"))&gt;0,1,0)</f>
        <v>0</v>
      </c>
      <c r="P35">
        <f>IF(SUMPRODUCT(('alle Dateien'!B:B=Bohrungen!B35)*('alle Dateien'!D:D="txt"))&gt;0,1,0)</f>
        <v>0</v>
      </c>
      <c r="Q35">
        <f>IF(SUMPRODUCT(('alle Dateien'!B:B=Bohrungen!B35)*('alle Dateien'!D:D="ZIP oder R"))&gt;0,1,0)</f>
        <v>0</v>
      </c>
      <c r="R35">
        <f>IF(SUMPRODUCT(('alle Dateien'!B:B=Bohrungen!B35)*('alle Dateien'!D:D="tsf"))&gt;0,1,0)</f>
        <v>0</v>
      </c>
      <c r="S35">
        <f>IF(SUMPRODUCT(('alle Dateien'!B:B=Bohrungen!B35)*('alle Dateien'!D:D="sch"))&gt;0,1,0)</f>
        <v>0</v>
      </c>
      <c r="U35" t="str">
        <f t="shared" si="1"/>
        <v>10110000000000000</v>
      </c>
      <c r="V35" t="str">
        <f>VLOOKUP(U35,Kategorie!B:C,2,FALSE)</f>
        <v>pdf/ sdg/ xlsx</v>
      </c>
    </row>
    <row r="36" spans="1:22" x14ac:dyDescent="0.25">
      <c r="A36">
        <v>35</v>
      </c>
      <c r="B36" t="s">
        <v>2121</v>
      </c>
      <c r="C36" s="2">
        <f>IF(SUMPRODUCT(('alle Dateien'!B:B=Bohrungen!B36)*('alle Dateien'!D:D="pdf"))&gt;0,1,0)</f>
        <v>0</v>
      </c>
      <c r="D36">
        <f>IF(SUMPRODUCT(('alle Dateien'!B:B=Bohrungen!B36)*('alle Dateien'!D:D="tif"))&gt;0,1,0)</f>
        <v>0</v>
      </c>
      <c r="E36">
        <f>IF(SUMPRODUCT(('alle Dateien'!B:B=Bohrungen!B36)*('alle Dateien'!D:D="sdg"))&gt;0,1,0)</f>
        <v>1</v>
      </c>
      <c r="F36">
        <f>IF(SUMPRODUCT(('alle Dateien'!B:B=Bohrungen!B36)*('alle Dateien'!D:D="xlsx"))&gt;0,1,0)</f>
        <v>1</v>
      </c>
      <c r="G36">
        <f>IF(SUMPRODUCT(('alle Dateien'!B:B=Bohrungen!B36)*('alle Dateien'!D:D="docx"))&gt;0,1,0)</f>
        <v>0</v>
      </c>
      <c r="H36">
        <f>IF(SUMPRODUCT(('alle Dateien'!B:B=Bohrungen!B36)*('alle Dateien'!D:D="las"))&gt;0,1,0)</f>
        <v>1</v>
      </c>
      <c r="I36">
        <f>IF(SUMPRODUCT(('alle Dateien'!B:B=Bohrungen!B36)*('alle Dateien'!D:D="db"))&gt;0,1,0)</f>
        <v>0</v>
      </c>
      <c r="J36">
        <f>IF(SUMPRODUCT(('alle Dateien'!B:B=Bohrungen!B36)*('alle Dateien'!D:D="rhistory"))&gt;0,1,0)</f>
        <v>0</v>
      </c>
      <c r="K36">
        <f>IF(SUMPRODUCT(('alle Dateien'!B:B=Bohrungen!B36)*('alle Dateien'!D:D="mdb"))&gt;0,1,0)</f>
        <v>0</v>
      </c>
      <c r="L36">
        <f>IF(SUMPRODUCT(('alle Dateien'!B:B=Bohrungen!B36)*('alle Dateien'!D:D="xml"))&gt;0,1,0)</f>
        <v>0</v>
      </c>
      <c r="M36">
        <f>IF(SUMPRODUCT(('alle Dateien'!B:B=Bohrungen!B36)*('alle Dateien'!D:D="jpg"))&gt;0,1,0)</f>
        <v>0</v>
      </c>
      <c r="N36">
        <f>IF(SUMPRODUCT(('alle Dateien'!B:B=Bohrungen!B36)*('alle Dateien'!D:D="png"))&gt;0,1,0)</f>
        <v>0</v>
      </c>
      <c r="O36">
        <f>IF(SUMPRODUCT(('alle Dateien'!B:B=Bohrungen!B36)*('alle Dateien'!D:D="xls"))&gt;0,1,0)</f>
        <v>0</v>
      </c>
      <c r="P36">
        <f>IF(SUMPRODUCT(('alle Dateien'!B:B=Bohrungen!B36)*('alle Dateien'!D:D="txt"))&gt;0,1,0)</f>
        <v>0</v>
      </c>
      <c r="Q36">
        <f>IF(SUMPRODUCT(('alle Dateien'!B:B=Bohrungen!B36)*('alle Dateien'!D:D="ZIP oder R"))&gt;0,1,0)</f>
        <v>0</v>
      </c>
      <c r="R36">
        <f>IF(SUMPRODUCT(('alle Dateien'!B:B=Bohrungen!B36)*('alle Dateien'!D:D="tsf"))&gt;0,1,0)</f>
        <v>0</v>
      </c>
      <c r="S36">
        <f>IF(SUMPRODUCT(('alle Dateien'!B:B=Bohrungen!B36)*('alle Dateien'!D:D="sch"))&gt;0,1,0)</f>
        <v>0</v>
      </c>
      <c r="U36" t="str">
        <f t="shared" si="1"/>
        <v>00110100000000000</v>
      </c>
      <c r="V36" t="str">
        <f>VLOOKUP(U36,Kategorie!B:C,2,FALSE)</f>
        <v>sdg/ xlsx/ las</v>
      </c>
    </row>
    <row r="37" spans="1:22" x14ac:dyDescent="0.25">
      <c r="A37">
        <v>36</v>
      </c>
      <c r="B37" t="s">
        <v>2122</v>
      </c>
      <c r="C37" s="2">
        <f>IF(SUMPRODUCT(('alle Dateien'!B:B=Bohrungen!B37)*('alle Dateien'!D:D="pdf"))&gt;0,1,0)</f>
        <v>1</v>
      </c>
      <c r="D37">
        <f>IF(SUMPRODUCT(('alle Dateien'!B:B=Bohrungen!B37)*('alle Dateien'!D:D="tif"))&gt;0,1,0)</f>
        <v>1</v>
      </c>
      <c r="E37">
        <f>IF(SUMPRODUCT(('alle Dateien'!B:B=Bohrungen!B37)*('alle Dateien'!D:D="sdg"))&gt;0,1,0)</f>
        <v>0</v>
      </c>
      <c r="F37">
        <f>IF(SUMPRODUCT(('alle Dateien'!B:B=Bohrungen!B37)*('alle Dateien'!D:D="xlsx"))&gt;0,1,0)</f>
        <v>0</v>
      </c>
      <c r="G37">
        <f>IF(SUMPRODUCT(('alle Dateien'!B:B=Bohrungen!B37)*('alle Dateien'!D:D="docx"))&gt;0,1,0)</f>
        <v>0</v>
      </c>
      <c r="H37">
        <f>IF(SUMPRODUCT(('alle Dateien'!B:B=Bohrungen!B37)*('alle Dateien'!D:D="las"))&gt;0,1,0)</f>
        <v>0</v>
      </c>
      <c r="I37">
        <f>IF(SUMPRODUCT(('alle Dateien'!B:B=Bohrungen!B37)*('alle Dateien'!D:D="db"))&gt;0,1,0)</f>
        <v>0</v>
      </c>
      <c r="J37">
        <f>IF(SUMPRODUCT(('alle Dateien'!B:B=Bohrungen!B37)*('alle Dateien'!D:D="rhistory"))&gt;0,1,0)</f>
        <v>0</v>
      </c>
      <c r="K37">
        <f>IF(SUMPRODUCT(('alle Dateien'!B:B=Bohrungen!B37)*('alle Dateien'!D:D="mdb"))&gt;0,1,0)</f>
        <v>0</v>
      </c>
      <c r="L37">
        <f>IF(SUMPRODUCT(('alle Dateien'!B:B=Bohrungen!B37)*('alle Dateien'!D:D="xml"))&gt;0,1,0)</f>
        <v>0</v>
      </c>
      <c r="M37">
        <f>IF(SUMPRODUCT(('alle Dateien'!B:B=Bohrungen!B37)*('alle Dateien'!D:D="jpg"))&gt;0,1,0)</f>
        <v>0</v>
      </c>
      <c r="N37">
        <f>IF(SUMPRODUCT(('alle Dateien'!B:B=Bohrungen!B37)*('alle Dateien'!D:D="png"))&gt;0,1,0)</f>
        <v>0</v>
      </c>
      <c r="O37">
        <f>IF(SUMPRODUCT(('alle Dateien'!B:B=Bohrungen!B37)*('alle Dateien'!D:D="xls"))&gt;0,1,0)</f>
        <v>0</v>
      </c>
      <c r="P37">
        <f>IF(SUMPRODUCT(('alle Dateien'!B:B=Bohrungen!B37)*('alle Dateien'!D:D="txt"))&gt;0,1,0)</f>
        <v>0</v>
      </c>
      <c r="Q37">
        <f>IF(SUMPRODUCT(('alle Dateien'!B:B=Bohrungen!B37)*('alle Dateien'!D:D="ZIP oder R"))&gt;0,1,0)</f>
        <v>0</v>
      </c>
      <c r="R37">
        <f>IF(SUMPRODUCT(('alle Dateien'!B:B=Bohrungen!B37)*('alle Dateien'!D:D="tsf"))&gt;0,1,0)</f>
        <v>0</v>
      </c>
      <c r="S37">
        <f>IF(SUMPRODUCT(('alle Dateien'!B:B=Bohrungen!B37)*('alle Dateien'!D:D="sch"))&gt;0,1,0)</f>
        <v>0</v>
      </c>
      <c r="U37" t="str">
        <f t="shared" si="1"/>
        <v>11000000000000000</v>
      </c>
      <c r="V37" t="str">
        <f>VLOOKUP(U37,Kategorie!B:C,2,FALSE)</f>
        <v>pdf/ tif</v>
      </c>
    </row>
    <row r="38" spans="1:22" x14ac:dyDescent="0.25">
      <c r="A38">
        <v>37</v>
      </c>
      <c r="B38" t="s">
        <v>2123</v>
      </c>
      <c r="C38" s="2">
        <f>IF(SUMPRODUCT(('alle Dateien'!B:B=Bohrungen!B38)*('alle Dateien'!D:D="pdf"))&gt;0,1,0)</f>
        <v>1</v>
      </c>
      <c r="D38">
        <f>IF(SUMPRODUCT(('alle Dateien'!B:B=Bohrungen!B38)*('alle Dateien'!D:D="tif"))&gt;0,1,0)</f>
        <v>0</v>
      </c>
      <c r="E38">
        <f>IF(SUMPRODUCT(('alle Dateien'!B:B=Bohrungen!B38)*('alle Dateien'!D:D="sdg"))&gt;0,1,0)</f>
        <v>0</v>
      </c>
      <c r="F38">
        <f>IF(SUMPRODUCT(('alle Dateien'!B:B=Bohrungen!B38)*('alle Dateien'!D:D="xlsx"))&gt;0,1,0)</f>
        <v>0</v>
      </c>
      <c r="G38">
        <f>IF(SUMPRODUCT(('alle Dateien'!B:B=Bohrungen!B38)*('alle Dateien'!D:D="docx"))&gt;0,1,0)</f>
        <v>0</v>
      </c>
      <c r="H38">
        <f>IF(SUMPRODUCT(('alle Dateien'!B:B=Bohrungen!B38)*('alle Dateien'!D:D="las"))&gt;0,1,0)</f>
        <v>0</v>
      </c>
      <c r="I38">
        <f>IF(SUMPRODUCT(('alle Dateien'!B:B=Bohrungen!B38)*('alle Dateien'!D:D="db"))&gt;0,1,0)</f>
        <v>0</v>
      </c>
      <c r="J38">
        <f>IF(SUMPRODUCT(('alle Dateien'!B:B=Bohrungen!B38)*('alle Dateien'!D:D="rhistory"))&gt;0,1,0)</f>
        <v>0</v>
      </c>
      <c r="K38">
        <f>IF(SUMPRODUCT(('alle Dateien'!B:B=Bohrungen!B38)*('alle Dateien'!D:D="mdb"))&gt;0,1,0)</f>
        <v>0</v>
      </c>
      <c r="L38">
        <f>IF(SUMPRODUCT(('alle Dateien'!B:B=Bohrungen!B38)*('alle Dateien'!D:D="xml"))&gt;0,1,0)</f>
        <v>0</v>
      </c>
      <c r="M38">
        <f>IF(SUMPRODUCT(('alle Dateien'!B:B=Bohrungen!B38)*('alle Dateien'!D:D="jpg"))&gt;0,1,0)</f>
        <v>1</v>
      </c>
      <c r="N38">
        <f>IF(SUMPRODUCT(('alle Dateien'!B:B=Bohrungen!B38)*('alle Dateien'!D:D="png"))&gt;0,1,0)</f>
        <v>0</v>
      </c>
      <c r="O38">
        <f>IF(SUMPRODUCT(('alle Dateien'!B:B=Bohrungen!B38)*('alle Dateien'!D:D="xls"))&gt;0,1,0)</f>
        <v>0</v>
      </c>
      <c r="P38">
        <f>IF(SUMPRODUCT(('alle Dateien'!B:B=Bohrungen!B38)*('alle Dateien'!D:D="txt"))&gt;0,1,0)</f>
        <v>0</v>
      </c>
      <c r="Q38">
        <f>IF(SUMPRODUCT(('alle Dateien'!B:B=Bohrungen!B38)*('alle Dateien'!D:D="ZIP oder R"))&gt;0,1,0)</f>
        <v>0</v>
      </c>
      <c r="R38">
        <f>IF(SUMPRODUCT(('alle Dateien'!B:B=Bohrungen!B38)*('alle Dateien'!D:D="tsf"))&gt;0,1,0)</f>
        <v>0</v>
      </c>
      <c r="S38">
        <f>IF(SUMPRODUCT(('alle Dateien'!B:B=Bohrungen!B38)*('alle Dateien'!D:D="sch"))&gt;0,1,0)</f>
        <v>0</v>
      </c>
      <c r="U38" t="str">
        <f t="shared" si="1"/>
        <v>10000000001000000</v>
      </c>
      <c r="V38" t="str">
        <f>VLOOKUP(U38,Kategorie!B:C,2,FALSE)</f>
        <v>pdf/ jpg</v>
      </c>
    </row>
    <row r="39" spans="1:22" x14ac:dyDescent="0.25">
      <c r="A39">
        <v>38</v>
      </c>
      <c r="B39" t="s">
        <v>2124</v>
      </c>
      <c r="C39" s="2">
        <f>IF(SUMPRODUCT(('alle Dateien'!B:B=Bohrungen!B39)*('alle Dateien'!D:D="pdf"))&gt;0,1,0)</f>
        <v>1</v>
      </c>
      <c r="D39">
        <f>IF(SUMPRODUCT(('alle Dateien'!B:B=Bohrungen!B39)*('alle Dateien'!D:D="tif"))&gt;0,1,0)</f>
        <v>1</v>
      </c>
      <c r="E39">
        <f>IF(SUMPRODUCT(('alle Dateien'!B:B=Bohrungen!B39)*('alle Dateien'!D:D="sdg"))&gt;0,1,0)</f>
        <v>1</v>
      </c>
      <c r="F39">
        <f>IF(SUMPRODUCT(('alle Dateien'!B:B=Bohrungen!B39)*('alle Dateien'!D:D="xlsx"))&gt;0,1,0)</f>
        <v>1</v>
      </c>
      <c r="G39">
        <f>IF(SUMPRODUCT(('alle Dateien'!B:B=Bohrungen!B39)*('alle Dateien'!D:D="docx"))&gt;0,1,0)</f>
        <v>1</v>
      </c>
      <c r="H39">
        <f>IF(SUMPRODUCT(('alle Dateien'!B:B=Bohrungen!B39)*('alle Dateien'!D:D="las"))&gt;0,1,0)</f>
        <v>1</v>
      </c>
      <c r="I39">
        <f>IF(SUMPRODUCT(('alle Dateien'!B:B=Bohrungen!B39)*('alle Dateien'!D:D="db"))&gt;0,1,0)</f>
        <v>0</v>
      </c>
      <c r="J39">
        <f>IF(SUMPRODUCT(('alle Dateien'!B:B=Bohrungen!B39)*('alle Dateien'!D:D="rhistory"))&gt;0,1,0)</f>
        <v>0</v>
      </c>
      <c r="K39">
        <f>IF(SUMPRODUCT(('alle Dateien'!B:B=Bohrungen!B39)*('alle Dateien'!D:D="mdb"))&gt;0,1,0)</f>
        <v>0</v>
      </c>
      <c r="L39">
        <f>IF(SUMPRODUCT(('alle Dateien'!B:B=Bohrungen!B39)*('alle Dateien'!D:D="xml"))&gt;0,1,0)</f>
        <v>0</v>
      </c>
      <c r="M39">
        <f>IF(SUMPRODUCT(('alle Dateien'!B:B=Bohrungen!B39)*('alle Dateien'!D:D="jpg"))&gt;0,1,0)</f>
        <v>0</v>
      </c>
      <c r="N39">
        <f>IF(SUMPRODUCT(('alle Dateien'!B:B=Bohrungen!B39)*('alle Dateien'!D:D="png"))&gt;0,1,0)</f>
        <v>0</v>
      </c>
      <c r="O39">
        <f>IF(SUMPRODUCT(('alle Dateien'!B:B=Bohrungen!B39)*('alle Dateien'!D:D="xls"))&gt;0,1,0)</f>
        <v>0</v>
      </c>
      <c r="P39">
        <f>IF(SUMPRODUCT(('alle Dateien'!B:B=Bohrungen!B39)*('alle Dateien'!D:D="txt"))&gt;0,1,0)</f>
        <v>0</v>
      </c>
      <c r="Q39">
        <f>IF(SUMPRODUCT(('alle Dateien'!B:B=Bohrungen!B39)*('alle Dateien'!D:D="ZIP oder R"))&gt;0,1,0)</f>
        <v>0</v>
      </c>
      <c r="R39">
        <f>IF(SUMPRODUCT(('alle Dateien'!B:B=Bohrungen!B39)*('alle Dateien'!D:D="tsf"))&gt;0,1,0)</f>
        <v>0</v>
      </c>
      <c r="S39">
        <f>IF(SUMPRODUCT(('alle Dateien'!B:B=Bohrungen!B39)*('alle Dateien'!D:D="sch"))&gt;0,1,0)</f>
        <v>0</v>
      </c>
      <c r="U39" t="str">
        <f t="shared" si="1"/>
        <v>11111100000000000</v>
      </c>
      <c r="V39" t="str">
        <f>VLOOKUP(U39,Kategorie!B:C,2,FALSE)</f>
        <v>pdf/ tif/ sdg/ xlsx/ docx/ las</v>
      </c>
    </row>
    <row r="40" spans="1:22" x14ac:dyDescent="0.25">
      <c r="A40">
        <v>39</v>
      </c>
      <c r="B40" t="s">
        <v>2125</v>
      </c>
      <c r="C40" s="2">
        <f>IF(SUMPRODUCT(('alle Dateien'!B:B=Bohrungen!B40)*('alle Dateien'!D:D="pdf"))&gt;0,1,0)</f>
        <v>1</v>
      </c>
      <c r="D40">
        <f>IF(SUMPRODUCT(('alle Dateien'!B:B=Bohrungen!B40)*('alle Dateien'!D:D="tif"))&gt;0,1,0)</f>
        <v>0</v>
      </c>
      <c r="E40">
        <f>IF(SUMPRODUCT(('alle Dateien'!B:B=Bohrungen!B40)*('alle Dateien'!D:D="sdg"))&gt;0,1,0)</f>
        <v>0</v>
      </c>
      <c r="F40">
        <f>IF(SUMPRODUCT(('alle Dateien'!B:B=Bohrungen!B40)*('alle Dateien'!D:D="xlsx"))&gt;0,1,0)</f>
        <v>0</v>
      </c>
      <c r="G40">
        <f>IF(SUMPRODUCT(('alle Dateien'!B:B=Bohrungen!B40)*('alle Dateien'!D:D="docx"))&gt;0,1,0)</f>
        <v>0</v>
      </c>
      <c r="H40">
        <f>IF(SUMPRODUCT(('alle Dateien'!B:B=Bohrungen!B40)*('alle Dateien'!D:D="las"))&gt;0,1,0)</f>
        <v>0</v>
      </c>
      <c r="I40">
        <f>IF(SUMPRODUCT(('alle Dateien'!B:B=Bohrungen!B40)*('alle Dateien'!D:D="db"))&gt;0,1,0)</f>
        <v>0</v>
      </c>
      <c r="J40">
        <f>IF(SUMPRODUCT(('alle Dateien'!B:B=Bohrungen!B40)*('alle Dateien'!D:D="rhistory"))&gt;0,1,0)</f>
        <v>0</v>
      </c>
      <c r="K40">
        <f>IF(SUMPRODUCT(('alle Dateien'!B:B=Bohrungen!B40)*('alle Dateien'!D:D="mdb"))&gt;0,1,0)</f>
        <v>0</v>
      </c>
      <c r="L40">
        <f>IF(SUMPRODUCT(('alle Dateien'!B:B=Bohrungen!B40)*('alle Dateien'!D:D="xml"))&gt;0,1,0)</f>
        <v>0</v>
      </c>
      <c r="M40">
        <f>IF(SUMPRODUCT(('alle Dateien'!B:B=Bohrungen!B40)*('alle Dateien'!D:D="jpg"))&gt;0,1,0)</f>
        <v>1</v>
      </c>
      <c r="N40">
        <f>IF(SUMPRODUCT(('alle Dateien'!B:B=Bohrungen!B40)*('alle Dateien'!D:D="png"))&gt;0,1,0)</f>
        <v>0</v>
      </c>
      <c r="O40">
        <f>IF(SUMPRODUCT(('alle Dateien'!B:B=Bohrungen!B40)*('alle Dateien'!D:D="xls"))&gt;0,1,0)</f>
        <v>0</v>
      </c>
      <c r="P40">
        <f>IF(SUMPRODUCT(('alle Dateien'!B:B=Bohrungen!B40)*('alle Dateien'!D:D="txt"))&gt;0,1,0)</f>
        <v>0</v>
      </c>
      <c r="Q40">
        <f>IF(SUMPRODUCT(('alle Dateien'!B:B=Bohrungen!B40)*('alle Dateien'!D:D="ZIP oder R"))&gt;0,1,0)</f>
        <v>0</v>
      </c>
      <c r="R40">
        <f>IF(SUMPRODUCT(('alle Dateien'!B:B=Bohrungen!B40)*('alle Dateien'!D:D="tsf"))&gt;0,1,0)</f>
        <v>0</v>
      </c>
      <c r="S40">
        <f>IF(SUMPRODUCT(('alle Dateien'!B:B=Bohrungen!B40)*('alle Dateien'!D:D="sch"))&gt;0,1,0)</f>
        <v>0</v>
      </c>
      <c r="U40" t="str">
        <f t="shared" si="1"/>
        <v>10000000001000000</v>
      </c>
      <c r="V40" t="str">
        <f>VLOOKUP(U40,Kategorie!B:C,2,FALSE)</f>
        <v>pdf/ jpg</v>
      </c>
    </row>
    <row r="41" spans="1:22" x14ac:dyDescent="0.25">
      <c r="A41">
        <v>40</v>
      </c>
      <c r="B41" t="s">
        <v>2126</v>
      </c>
      <c r="C41" s="2">
        <f>IF(SUMPRODUCT(('alle Dateien'!B:B=Bohrungen!B41)*('alle Dateien'!D:D="pdf"))&gt;0,1,0)</f>
        <v>1</v>
      </c>
      <c r="D41">
        <f>IF(SUMPRODUCT(('alle Dateien'!B:B=Bohrungen!B41)*('alle Dateien'!D:D="tif"))&gt;0,1,0)</f>
        <v>1</v>
      </c>
      <c r="E41">
        <f>IF(SUMPRODUCT(('alle Dateien'!B:B=Bohrungen!B41)*('alle Dateien'!D:D="sdg"))&gt;0,1,0)</f>
        <v>0</v>
      </c>
      <c r="F41">
        <f>IF(SUMPRODUCT(('alle Dateien'!B:B=Bohrungen!B41)*('alle Dateien'!D:D="xlsx"))&gt;0,1,0)</f>
        <v>0</v>
      </c>
      <c r="G41">
        <f>IF(SUMPRODUCT(('alle Dateien'!B:B=Bohrungen!B41)*('alle Dateien'!D:D="docx"))&gt;0,1,0)</f>
        <v>0</v>
      </c>
      <c r="H41">
        <f>IF(SUMPRODUCT(('alle Dateien'!B:B=Bohrungen!B41)*('alle Dateien'!D:D="las"))&gt;0,1,0)</f>
        <v>0</v>
      </c>
      <c r="I41">
        <f>IF(SUMPRODUCT(('alle Dateien'!B:B=Bohrungen!B41)*('alle Dateien'!D:D="db"))&gt;0,1,0)</f>
        <v>0</v>
      </c>
      <c r="J41">
        <f>IF(SUMPRODUCT(('alle Dateien'!B:B=Bohrungen!B41)*('alle Dateien'!D:D="rhistory"))&gt;0,1,0)</f>
        <v>0</v>
      </c>
      <c r="K41">
        <f>IF(SUMPRODUCT(('alle Dateien'!B:B=Bohrungen!B41)*('alle Dateien'!D:D="mdb"))&gt;0,1,0)</f>
        <v>0</v>
      </c>
      <c r="L41">
        <f>IF(SUMPRODUCT(('alle Dateien'!B:B=Bohrungen!B41)*('alle Dateien'!D:D="xml"))&gt;0,1,0)</f>
        <v>0</v>
      </c>
      <c r="M41">
        <f>IF(SUMPRODUCT(('alle Dateien'!B:B=Bohrungen!B41)*('alle Dateien'!D:D="jpg"))&gt;0,1,0)</f>
        <v>1</v>
      </c>
      <c r="N41">
        <f>IF(SUMPRODUCT(('alle Dateien'!B:B=Bohrungen!B41)*('alle Dateien'!D:D="png"))&gt;0,1,0)</f>
        <v>0</v>
      </c>
      <c r="O41">
        <f>IF(SUMPRODUCT(('alle Dateien'!B:B=Bohrungen!B41)*('alle Dateien'!D:D="xls"))&gt;0,1,0)</f>
        <v>0</v>
      </c>
      <c r="P41">
        <f>IF(SUMPRODUCT(('alle Dateien'!B:B=Bohrungen!B41)*('alle Dateien'!D:D="txt"))&gt;0,1,0)</f>
        <v>0</v>
      </c>
      <c r="Q41">
        <f>IF(SUMPRODUCT(('alle Dateien'!B:B=Bohrungen!B41)*('alle Dateien'!D:D="ZIP oder R"))&gt;0,1,0)</f>
        <v>0</v>
      </c>
      <c r="R41">
        <f>IF(SUMPRODUCT(('alle Dateien'!B:B=Bohrungen!B41)*('alle Dateien'!D:D="tsf"))&gt;0,1,0)</f>
        <v>0</v>
      </c>
      <c r="S41">
        <f>IF(SUMPRODUCT(('alle Dateien'!B:B=Bohrungen!B41)*('alle Dateien'!D:D="sch"))&gt;0,1,0)</f>
        <v>0</v>
      </c>
      <c r="U41" t="str">
        <f t="shared" si="1"/>
        <v>11000000001000000</v>
      </c>
      <c r="V41" t="str">
        <f>VLOOKUP(U41,Kategorie!B:C,2,FALSE)</f>
        <v>pdf/ tif/ jpg</v>
      </c>
    </row>
    <row r="42" spans="1:22" x14ac:dyDescent="0.25">
      <c r="A42">
        <v>41</v>
      </c>
      <c r="B42" t="s">
        <v>2127</v>
      </c>
      <c r="C42" s="2">
        <f>IF(SUMPRODUCT(('alle Dateien'!B:B=Bohrungen!B42)*('alle Dateien'!D:D="pdf"))&gt;0,1,0)</f>
        <v>1</v>
      </c>
      <c r="D42">
        <f>IF(SUMPRODUCT(('alle Dateien'!B:B=Bohrungen!B42)*('alle Dateien'!D:D="tif"))&gt;0,1,0)</f>
        <v>1</v>
      </c>
      <c r="E42">
        <f>IF(SUMPRODUCT(('alle Dateien'!B:B=Bohrungen!B42)*('alle Dateien'!D:D="sdg"))&gt;0,1,0)</f>
        <v>0</v>
      </c>
      <c r="F42">
        <f>IF(SUMPRODUCT(('alle Dateien'!B:B=Bohrungen!B42)*('alle Dateien'!D:D="xlsx"))&gt;0,1,0)</f>
        <v>0</v>
      </c>
      <c r="G42">
        <f>IF(SUMPRODUCT(('alle Dateien'!B:B=Bohrungen!B42)*('alle Dateien'!D:D="docx"))&gt;0,1,0)</f>
        <v>0</v>
      </c>
      <c r="H42">
        <f>IF(SUMPRODUCT(('alle Dateien'!B:B=Bohrungen!B42)*('alle Dateien'!D:D="las"))&gt;0,1,0)</f>
        <v>0</v>
      </c>
      <c r="I42">
        <f>IF(SUMPRODUCT(('alle Dateien'!B:B=Bohrungen!B42)*('alle Dateien'!D:D="db"))&gt;0,1,0)</f>
        <v>0</v>
      </c>
      <c r="J42">
        <f>IF(SUMPRODUCT(('alle Dateien'!B:B=Bohrungen!B42)*('alle Dateien'!D:D="rhistory"))&gt;0,1,0)</f>
        <v>0</v>
      </c>
      <c r="K42">
        <f>IF(SUMPRODUCT(('alle Dateien'!B:B=Bohrungen!B42)*('alle Dateien'!D:D="mdb"))&gt;0,1,0)</f>
        <v>0</v>
      </c>
      <c r="L42">
        <f>IF(SUMPRODUCT(('alle Dateien'!B:B=Bohrungen!B42)*('alle Dateien'!D:D="xml"))&gt;0,1,0)</f>
        <v>0</v>
      </c>
      <c r="M42">
        <f>IF(SUMPRODUCT(('alle Dateien'!B:B=Bohrungen!B42)*('alle Dateien'!D:D="jpg"))&gt;0,1,0)</f>
        <v>1</v>
      </c>
      <c r="N42">
        <f>IF(SUMPRODUCT(('alle Dateien'!B:B=Bohrungen!B42)*('alle Dateien'!D:D="png"))&gt;0,1,0)</f>
        <v>0</v>
      </c>
      <c r="O42">
        <f>IF(SUMPRODUCT(('alle Dateien'!B:B=Bohrungen!B42)*('alle Dateien'!D:D="xls"))&gt;0,1,0)</f>
        <v>0</v>
      </c>
      <c r="P42">
        <f>IF(SUMPRODUCT(('alle Dateien'!B:B=Bohrungen!B42)*('alle Dateien'!D:D="txt"))&gt;0,1,0)</f>
        <v>0</v>
      </c>
      <c r="Q42">
        <f>IF(SUMPRODUCT(('alle Dateien'!B:B=Bohrungen!B42)*('alle Dateien'!D:D="ZIP oder R"))&gt;0,1,0)</f>
        <v>0</v>
      </c>
      <c r="R42">
        <f>IF(SUMPRODUCT(('alle Dateien'!B:B=Bohrungen!B42)*('alle Dateien'!D:D="tsf"))&gt;0,1,0)</f>
        <v>0</v>
      </c>
      <c r="S42">
        <f>IF(SUMPRODUCT(('alle Dateien'!B:B=Bohrungen!B42)*('alle Dateien'!D:D="sch"))&gt;0,1,0)</f>
        <v>0</v>
      </c>
      <c r="U42" t="str">
        <f t="shared" si="1"/>
        <v>11000000001000000</v>
      </c>
      <c r="V42" t="str">
        <f>VLOOKUP(U42,Kategorie!B:C,2,FALSE)</f>
        <v>pdf/ tif/ jpg</v>
      </c>
    </row>
    <row r="43" spans="1:22" x14ac:dyDescent="0.25">
      <c r="A43">
        <v>42</v>
      </c>
      <c r="B43" t="s">
        <v>2128</v>
      </c>
      <c r="C43" s="2">
        <f>IF(SUMPRODUCT(('alle Dateien'!B:B=Bohrungen!B43)*('alle Dateien'!D:D="pdf"))&gt;0,1,0)</f>
        <v>1</v>
      </c>
      <c r="D43">
        <f>IF(SUMPRODUCT(('alle Dateien'!B:B=Bohrungen!B43)*('alle Dateien'!D:D="tif"))&gt;0,1,0)</f>
        <v>0</v>
      </c>
      <c r="E43">
        <f>IF(SUMPRODUCT(('alle Dateien'!B:B=Bohrungen!B43)*('alle Dateien'!D:D="sdg"))&gt;0,1,0)</f>
        <v>1</v>
      </c>
      <c r="F43">
        <f>IF(SUMPRODUCT(('alle Dateien'!B:B=Bohrungen!B43)*('alle Dateien'!D:D="xlsx"))&gt;0,1,0)</f>
        <v>1</v>
      </c>
      <c r="G43">
        <f>IF(SUMPRODUCT(('alle Dateien'!B:B=Bohrungen!B43)*('alle Dateien'!D:D="docx"))&gt;0,1,0)</f>
        <v>0</v>
      </c>
      <c r="H43">
        <f>IF(SUMPRODUCT(('alle Dateien'!B:B=Bohrungen!B43)*('alle Dateien'!D:D="las"))&gt;0,1,0)</f>
        <v>1</v>
      </c>
      <c r="I43">
        <f>IF(SUMPRODUCT(('alle Dateien'!B:B=Bohrungen!B43)*('alle Dateien'!D:D="db"))&gt;0,1,0)</f>
        <v>0</v>
      </c>
      <c r="J43">
        <f>IF(SUMPRODUCT(('alle Dateien'!B:B=Bohrungen!B43)*('alle Dateien'!D:D="rhistory"))&gt;0,1,0)</f>
        <v>0</v>
      </c>
      <c r="K43">
        <f>IF(SUMPRODUCT(('alle Dateien'!B:B=Bohrungen!B43)*('alle Dateien'!D:D="mdb"))&gt;0,1,0)</f>
        <v>0</v>
      </c>
      <c r="L43">
        <f>IF(SUMPRODUCT(('alle Dateien'!B:B=Bohrungen!B43)*('alle Dateien'!D:D="xml"))&gt;0,1,0)</f>
        <v>0</v>
      </c>
      <c r="M43">
        <f>IF(SUMPRODUCT(('alle Dateien'!B:B=Bohrungen!B43)*('alle Dateien'!D:D="jpg"))&gt;0,1,0)</f>
        <v>0</v>
      </c>
      <c r="N43">
        <f>IF(SUMPRODUCT(('alle Dateien'!B:B=Bohrungen!B43)*('alle Dateien'!D:D="png"))&gt;0,1,0)</f>
        <v>0</v>
      </c>
      <c r="O43">
        <f>IF(SUMPRODUCT(('alle Dateien'!B:B=Bohrungen!B43)*('alle Dateien'!D:D="xls"))&gt;0,1,0)</f>
        <v>0</v>
      </c>
      <c r="P43">
        <f>IF(SUMPRODUCT(('alle Dateien'!B:B=Bohrungen!B43)*('alle Dateien'!D:D="txt"))&gt;0,1,0)</f>
        <v>0</v>
      </c>
      <c r="Q43">
        <f>IF(SUMPRODUCT(('alle Dateien'!B:B=Bohrungen!B43)*('alle Dateien'!D:D="ZIP oder R"))&gt;0,1,0)</f>
        <v>0</v>
      </c>
      <c r="R43">
        <f>IF(SUMPRODUCT(('alle Dateien'!B:B=Bohrungen!B43)*('alle Dateien'!D:D="tsf"))&gt;0,1,0)</f>
        <v>0</v>
      </c>
      <c r="S43">
        <f>IF(SUMPRODUCT(('alle Dateien'!B:B=Bohrungen!B43)*('alle Dateien'!D:D="sch"))&gt;0,1,0)</f>
        <v>0</v>
      </c>
      <c r="U43" t="str">
        <f t="shared" si="1"/>
        <v>10110100000000000</v>
      </c>
      <c r="V43" t="str">
        <f>VLOOKUP(U43,Kategorie!B:C,2,FALSE)</f>
        <v>pdf/ sdg/ xlsx/ las</v>
      </c>
    </row>
    <row r="44" spans="1:22" x14ac:dyDescent="0.25">
      <c r="A44">
        <v>43</v>
      </c>
      <c r="B44" t="s">
        <v>2129</v>
      </c>
      <c r="C44" s="2">
        <f>IF(SUMPRODUCT(('alle Dateien'!B:B=Bohrungen!B44)*('alle Dateien'!D:D="pdf"))&gt;0,1,0)</f>
        <v>1</v>
      </c>
      <c r="D44">
        <f>IF(SUMPRODUCT(('alle Dateien'!B:B=Bohrungen!B44)*('alle Dateien'!D:D="tif"))&gt;0,1,0)</f>
        <v>1</v>
      </c>
      <c r="E44">
        <f>IF(SUMPRODUCT(('alle Dateien'!B:B=Bohrungen!B44)*('alle Dateien'!D:D="sdg"))&gt;0,1,0)</f>
        <v>1</v>
      </c>
      <c r="F44">
        <f>IF(SUMPRODUCT(('alle Dateien'!B:B=Bohrungen!B44)*('alle Dateien'!D:D="xlsx"))&gt;0,1,0)</f>
        <v>1</v>
      </c>
      <c r="G44">
        <f>IF(SUMPRODUCT(('alle Dateien'!B:B=Bohrungen!B44)*('alle Dateien'!D:D="docx"))&gt;0,1,0)</f>
        <v>1</v>
      </c>
      <c r="H44">
        <f>IF(SUMPRODUCT(('alle Dateien'!B:B=Bohrungen!B44)*('alle Dateien'!D:D="las"))&gt;0,1,0)</f>
        <v>1</v>
      </c>
      <c r="I44">
        <f>IF(SUMPRODUCT(('alle Dateien'!B:B=Bohrungen!B44)*('alle Dateien'!D:D="db"))&gt;0,1,0)</f>
        <v>0</v>
      </c>
      <c r="J44">
        <f>IF(SUMPRODUCT(('alle Dateien'!B:B=Bohrungen!B44)*('alle Dateien'!D:D="rhistory"))&gt;0,1,0)</f>
        <v>0</v>
      </c>
      <c r="K44">
        <f>IF(SUMPRODUCT(('alle Dateien'!B:B=Bohrungen!B44)*('alle Dateien'!D:D="mdb"))&gt;0,1,0)</f>
        <v>0</v>
      </c>
      <c r="L44">
        <f>IF(SUMPRODUCT(('alle Dateien'!B:B=Bohrungen!B44)*('alle Dateien'!D:D="xml"))&gt;0,1,0)</f>
        <v>0</v>
      </c>
      <c r="M44">
        <f>IF(SUMPRODUCT(('alle Dateien'!B:B=Bohrungen!B44)*('alle Dateien'!D:D="jpg"))&gt;0,1,0)</f>
        <v>0</v>
      </c>
      <c r="N44">
        <f>IF(SUMPRODUCT(('alle Dateien'!B:B=Bohrungen!B44)*('alle Dateien'!D:D="png"))&gt;0,1,0)</f>
        <v>0</v>
      </c>
      <c r="O44">
        <f>IF(SUMPRODUCT(('alle Dateien'!B:B=Bohrungen!B44)*('alle Dateien'!D:D="xls"))&gt;0,1,0)</f>
        <v>0</v>
      </c>
      <c r="P44">
        <f>IF(SUMPRODUCT(('alle Dateien'!B:B=Bohrungen!B44)*('alle Dateien'!D:D="txt"))&gt;0,1,0)</f>
        <v>0</v>
      </c>
      <c r="Q44">
        <f>IF(SUMPRODUCT(('alle Dateien'!B:B=Bohrungen!B44)*('alle Dateien'!D:D="ZIP oder R"))&gt;0,1,0)</f>
        <v>0</v>
      </c>
      <c r="R44">
        <f>IF(SUMPRODUCT(('alle Dateien'!B:B=Bohrungen!B44)*('alle Dateien'!D:D="tsf"))&gt;0,1,0)</f>
        <v>0</v>
      </c>
      <c r="S44">
        <f>IF(SUMPRODUCT(('alle Dateien'!B:B=Bohrungen!B44)*('alle Dateien'!D:D="sch"))&gt;0,1,0)</f>
        <v>0</v>
      </c>
      <c r="U44" t="str">
        <f t="shared" si="1"/>
        <v>11111100000000000</v>
      </c>
      <c r="V44" t="str">
        <f>VLOOKUP(U44,Kategorie!B:C,2,FALSE)</f>
        <v>pdf/ tif/ sdg/ xlsx/ docx/ las</v>
      </c>
    </row>
    <row r="45" spans="1:22" x14ac:dyDescent="0.25">
      <c r="A45">
        <v>44</v>
      </c>
      <c r="B45" t="s">
        <v>2130</v>
      </c>
      <c r="C45" s="2">
        <f>IF(SUMPRODUCT(('alle Dateien'!B:B=Bohrungen!B45)*('alle Dateien'!D:D="pdf"))&gt;0,1,0)</f>
        <v>1</v>
      </c>
      <c r="D45">
        <f>IF(SUMPRODUCT(('alle Dateien'!B:B=Bohrungen!B45)*('alle Dateien'!D:D="tif"))&gt;0,1,0)</f>
        <v>1</v>
      </c>
      <c r="E45">
        <f>IF(SUMPRODUCT(('alle Dateien'!B:B=Bohrungen!B45)*('alle Dateien'!D:D="sdg"))&gt;0,1,0)</f>
        <v>1</v>
      </c>
      <c r="F45">
        <f>IF(SUMPRODUCT(('alle Dateien'!B:B=Bohrungen!B45)*('alle Dateien'!D:D="xlsx"))&gt;0,1,0)</f>
        <v>1</v>
      </c>
      <c r="G45">
        <f>IF(SUMPRODUCT(('alle Dateien'!B:B=Bohrungen!B45)*('alle Dateien'!D:D="docx"))&gt;0,1,0)</f>
        <v>1</v>
      </c>
      <c r="H45">
        <f>IF(SUMPRODUCT(('alle Dateien'!B:B=Bohrungen!B45)*('alle Dateien'!D:D="las"))&gt;0,1,0)</f>
        <v>1</v>
      </c>
      <c r="I45">
        <f>IF(SUMPRODUCT(('alle Dateien'!B:B=Bohrungen!B45)*('alle Dateien'!D:D="db"))&gt;0,1,0)</f>
        <v>0</v>
      </c>
      <c r="J45">
        <f>IF(SUMPRODUCT(('alle Dateien'!B:B=Bohrungen!B45)*('alle Dateien'!D:D="rhistory"))&gt;0,1,0)</f>
        <v>0</v>
      </c>
      <c r="K45">
        <f>IF(SUMPRODUCT(('alle Dateien'!B:B=Bohrungen!B45)*('alle Dateien'!D:D="mdb"))&gt;0,1,0)</f>
        <v>0</v>
      </c>
      <c r="L45">
        <f>IF(SUMPRODUCT(('alle Dateien'!B:B=Bohrungen!B45)*('alle Dateien'!D:D="xml"))&gt;0,1,0)</f>
        <v>0</v>
      </c>
      <c r="M45">
        <f>IF(SUMPRODUCT(('alle Dateien'!B:B=Bohrungen!B45)*('alle Dateien'!D:D="jpg"))&gt;0,1,0)</f>
        <v>0</v>
      </c>
      <c r="N45">
        <f>IF(SUMPRODUCT(('alle Dateien'!B:B=Bohrungen!B45)*('alle Dateien'!D:D="png"))&gt;0,1,0)</f>
        <v>0</v>
      </c>
      <c r="O45">
        <f>IF(SUMPRODUCT(('alle Dateien'!B:B=Bohrungen!B45)*('alle Dateien'!D:D="xls"))&gt;0,1,0)</f>
        <v>0</v>
      </c>
      <c r="P45">
        <f>IF(SUMPRODUCT(('alle Dateien'!B:B=Bohrungen!B45)*('alle Dateien'!D:D="txt"))&gt;0,1,0)</f>
        <v>0</v>
      </c>
      <c r="Q45">
        <f>IF(SUMPRODUCT(('alle Dateien'!B:B=Bohrungen!B45)*('alle Dateien'!D:D="ZIP oder R"))&gt;0,1,0)</f>
        <v>0</v>
      </c>
      <c r="R45">
        <f>IF(SUMPRODUCT(('alle Dateien'!B:B=Bohrungen!B45)*('alle Dateien'!D:D="tsf"))&gt;0,1,0)</f>
        <v>0</v>
      </c>
      <c r="S45">
        <f>IF(SUMPRODUCT(('alle Dateien'!B:B=Bohrungen!B45)*('alle Dateien'!D:D="sch"))&gt;0,1,0)</f>
        <v>0</v>
      </c>
      <c r="U45" t="str">
        <f t="shared" si="1"/>
        <v>11111100000000000</v>
      </c>
      <c r="V45" t="str">
        <f>VLOOKUP(U45,Kategorie!B:C,2,FALSE)</f>
        <v>pdf/ tif/ sdg/ xlsx/ docx/ las</v>
      </c>
    </row>
    <row r="46" spans="1:22" x14ac:dyDescent="0.25">
      <c r="A46">
        <v>45</v>
      </c>
      <c r="B46" t="s">
        <v>2131</v>
      </c>
      <c r="C46" s="2">
        <f>IF(SUMPRODUCT(('alle Dateien'!B:B=Bohrungen!B46)*('alle Dateien'!D:D="pdf"))&gt;0,1,0)</f>
        <v>1</v>
      </c>
      <c r="D46">
        <f>IF(SUMPRODUCT(('alle Dateien'!B:B=Bohrungen!B46)*('alle Dateien'!D:D="tif"))&gt;0,1,0)</f>
        <v>0</v>
      </c>
      <c r="E46">
        <f>IF(SUMPRODUCT(('alle Dateien'!B:B=Bohrungen!B46)*('alle Dateien'!D:D="sdg"))&gt;0,1,0)</f>
        <v>1</v>
      </c>
      <c r="F46">
        <f>IF(SUMPRODUCT(('alle Dateien'!B:B=Bohrungen!B46)*('alle Dateien'!D:D="xlsx"))&gt;0,1,0)</f>
        <v>1</v>
      </c>
      <c r="G46">
        <f>IF(SUMPRODUCT(('alle Dateien'!B:B=Bohrungen!B46)*('alle Dateien'!D:D="docx"))&gt;0,1,0)</f>
        <v>0</v>
      </c>
      <c r="H46">
        <f>IF(SUMPRODUCT(('alle Dateien'!B:B=Bohrungen!B46)*('alle Dateien'!D:D="las"))&gt;0,1,0)</f>
        <v>1</v>
      </c>
      <c r="I46">
        <f>IF(SUMPRODUCT(('alle Dateien'!B:B=Bohrungen!B46)*('alle Dateien'!D:D="db"))&gt;0,1,0)</f>
        <v>0</v>
      </c>
      <c r="J46">
        <f>IF(SUMPRODUCT(('alle Dateien'!B:B=Bohrungen!B46)*('alle Dateien'!D:D="rhistory"))&gt;0,1,0)</f>
        <v>0</v>
      </c>
      <c r="K46">
        <f>IF(SUMPRODUCT(('alle Dateien'!B:B=Bohrungen!B46)*('alle Dateien'!D:D="mdb"))&gt;0,1,0)</f>
        <v>0</v>
      </c>
      <c r="L46">
        <f>IF(SUMPRODUCT(('alle Dateien'!B:B=Bohrungen!B46)*('alle Dateien'!D:D="xml"))&gt;0,1,0)</f>
        <v>0</v>
      </c>
      <c r="M46">
        <f>IF(SUMPRODUCT(('alle Dateien'!B:B=Bohrungen!B46)*('alle Dateien'!D:D="jpg"))&gt;0,1,0)</f>
        <v>0</v>
      </c>
      <c r="N46">
        <f>IF(SUMPRODUCT(('alle Dateien'!B:B=Bohrungen!B46)*('alle Dateien'!D:D="png"))&gt;0,1,0)</f>
        <v>0</v>
      </c>
      <c r="O46">
        <f>IF(SUMPRODUCT(('alle Dateien'!B:B=Bohrungen!B46)*('alle Dateien'!D:D="xls"))&gt;0,1,0)</f>
        <v>0</v>
      </c>
      <c r="P46">
        <f>IF(SUMPRODUCT(('alle Dateien'!B:B=Bohrungen!B46)*('alle Dateien'!D:D="txt"))&gt;0,1,0)</f>
        <v>0</v>
      </c>
      <c r="Q46">
        <f>IF(SUMPRODUCT(('alle Dateien'!B:B=Bohrungen!B46)*('alle Dateien'!D:D="ZIP oder R"))&gt;0,1,0)</f>
        <v>0</v>
      </c>
      <c r="R46">
        <f>IF(SUMPRODUCT(('alle Dateien'!B:B=Bohrungen!B46)*('alle Dateien'!D:D="tsf"))&gt;0,1,0)</f>
        <v>0</v>
      </c>
      <c r="S46">
        <f>IF(SUMPRODUCT(('alle Dateien'!B:B=Bohrungen!B46)*('alle Dateien'!D:D="sch"))&gt;0,1,0)</f>
        <v>0</v>
      </c>
      <c r="U46" t="str">
        <f t="shared" si="1"/>
        <v>10110100000000000</v>
      </c>
      <c r="V46" t="str">
        <f>VLOOKUP(U46,Kategorie!B:C,2,FALSE)</f>
        <v>pdf/ sdg/ xlsx/ las</v>
      </c>
    </row>
    <row r="47" spans="1:22" x14ac:dyDescent="0.25">
      <c r="A47">
        <v>46</v>
      </c>
      <c r="B47" t="s">
        <v>2132</v>
      </c>
      <c r="C47" s="2">
        <f>IF(SUMPRODUCT(('alle Dateien'!B:B=Bohrungen!B47)*('alle Dateien'!D:D="pdf"))&gt;0,1,0)</f>
        <v>1</v>
      </c>
      <c r="D47">
        <f>IF(SUMPRODUCT(('alle Dateien'!B:B=Bohrungen!B47)*('alle Dateien'!D:D="tif"))&gt;0,1,0)</f>
        <v>0</v>
      </c>
      <c r="E47">
        <f>IF(SUMPRODUCT(('alle Dateien'!B:B=Bohrungen!B47)*('alle Dateien'!D:D="sdg"))&gt;0,1,0)</f>
        <v>0</v>
      </c>
      <c r="F47">
        <f>IF(SUMPRODUCT(('alle Dateien'!B:B=Bohrungen!B47)*('alle Dateien'!D:D="xlsx"))&gt;0,1,0)</f>
        <v>0</v>
      </c>
      <c r="G47">
        <f>IF(SUMPRODUCT(('alle Dateien'!B:B=Bohrungen!B47)*('alle Dateien'!D:D="docx"))&gt;0,1,0)</f>
        <v>0</v>
      </c>
      <c r="H47">
        <f>IF(SUMPRODUCT(('alle Dateien'!B:B=Bohrungen!B47)*('alle Dateien'!D:D="las"))&gt;0,1,0)</f>
        <v>0</v>
      </c>
      <c r="I47">
        <f>IF(SUMPRODUCT(('alle Dateien'!B:B=Bohrungen!B47)*('alle Dateien'!D:D="db"))&gt;0,1,0)</f>
        <v>0</v>
      </c>
      <c r="J47">
        <f>IF(SUMPRODUCT(('alle Dateien'!B:B=Bohrungen!B47)*('alle Dateien'!D:D="rhistory"))&gt;0,1,0)</f>
        <v>0</v>
      </c>
      <c r="K47">
        <f>IF(SUMPRODUCT(('alle Dateien'!B:B=Bohrungen!B47)*('alle Dateien'!D:D="mdb"))&gt;0,1,0)</f>
        <v>0</v>
      </c>
      <c r="L47">
        <f>IF(SUMPRODUCT(('alle Dateien'!B:B=Bohrungen!B47)*('alle Dateien'!D:D="xml"))&gt;0,1,0)</f>
        <v>0</v>
      </c>
      <c r="M47">
        <f>IF(SUMPRODUCT(('alle Dateien'!B:B=Bohrungen!B47)*('alle Dateien'!D:D="jpg"))&gt;0,1,0)</f>
        <v>0</v>
      </c>
      <c r="N47">
        <f>IF(SUMPRODUCT(('alle Dateien'!B:B=Bohrungen!B47)*('alle Dateien'!D:D="png"))&gt;0,1,0)</f>
        <v>0</v>
      </c>
      <c r="O47">
        <f>IF(SUMPRODUCT(('alle Dateien'!B:B=Bohrungen!B47)*('alle Dateien'!D:D="xls"))&gt;0,1,0)</f>
        <v>0</v>
      </c>
      <c r="P47">
        <f>IF(SUMPRODUCT(('alle Dateien'!B:B=Bohrungen!B47)*('alle Dateien'!D:D="txt"))&gt;0,1,0)</f>
        <v>0</v>
      </c>
      <c r="Q47">
        <f>IF(SUMPRODUCT(('alle Dateien'!B:B=Bohrungen!B47)*('alle Dateien'!D:D="ZIP oder R"))&gt;0,1,0)</f>
        <v>0</v>
      </c>
      <c r="R47">
        <f>IF(SUMPRODUCT(('alle Dateien'!B:B=Bohrungen!B47)*('alle Dateien'!D:D="tsf"))&gt;0,1,0)</f>
        <v>0</v>
      </c>
      <c r="S47">
        <f>IF(SUMPRODUCT(('alle Dateien'!B:B=Bohrungen!B47)*('alle Dateien'!D:D="sch"))&gt;0,1,0)</f>
        <v>0</v>
      </c>
      <c r="U47" t="str">
        <f t="shared" si="1"/>
        <v>10000000000000000</v>
      </c>
      <c r="V47" t="str">
        <f>VLOOKUP(U47,Kategorie!B:C,2,FALSE)</f>
        <v>pdf</v>
      </c>
    </row>
    <row r="48" spans="1:22" x14ac:dyDescent="0.25">
      <c r="A48">
        <v>47</v>
      </c>
      <c r="B48" t="s">
        <v>2133</v>
      </c>
      <c r="C48" s="2">
        <f>IF(SUMPRODUCT(('alle Dateien'!B:B=Bohrungen!B48)*('alle Dateien'!D:D="pdf"))&gt;0,1,0)</f>
        <v>1</v>
      </c>
      <c r="D48">
        <f>IF(SUMPRODUCT(('alle Dateien'!B:B=Bohrungen!B48)*('alle Dateien'!D:D="tif"))&gt;0,1,0)</f>
        <v>0</v>
      </c>
      <c r="E48">
        <f>IF(SUMPRODUCT(('alle Dateien'!B:B=Bohrungen!B48)*('alle Dateien'!D:D="sdg"))&gt;0,1,0)</f>
        <v>0</v>
      </c>
      <c r="F48">
        <f>IF(SUMPRODUCT(('alle Dateien'!B:B=Bohrungen!B48)*('alle Dateien'!D:D="xlsx"))&gt;0,1,0)</f>
        <v>0</v>
      </c>
      <c r="G48">
        <f>IF(SUMPRODUCT(('alle Dateien'!B:B=Bohrungen!B48)*('alle Dateien'!D:D="docx"))&gt;0,1,0)</f>
        <v>0</v>
      </c>
      <c r="H48">
        <f>IF(SUMPRODUCT(('alle Dateien'!B:B=Bohrungen!B48)*('alle Dateien'!D:D="las"))&gt;0,1,0)</f>
        <v>0</v>
      </c>
      <c r="I48">
        <f>IF(SUMPRODUCT(('alle Dateien'!B:B=Bohrungen!B48)*('alle Dateien'!D:D="db"))&gt;0,1,0)</f>
        <v>0</v>
      </c>
      <c r="J48">
        <f>IF(SUMPRODUCT(('alle Dateien'!B:B=Bohrungen!B48)*('alle Dateien'!D:D="rhistory"))&gt;0,1,0)</f>
        <v>0</v>
      </c>
      <c r="K48">
        <f>IF(SUMPRODUCT(('alle Dateien'!B:B=Bohrungen!B48)*('alle Dateien'!D:D="mdb"))&gt;0,1,0)</f>
        <v>0</v>
      </c>
      <c r="L48">
        <f>IF(SUMPRODUCT(('alle Dateien'!B:B=Bohrungen!B48)*('alle Dateien'!D:D="xml"))&gt;0,1,0)</f>
        <v>0</v>
      </c>
      <c r="M48">
        <f>IF(SUMPRODUCT(('alle Dateien'!B:B=Bohrungen!B48)*('alle Dateien'!D:D="jpg"))&gt;0,1,0)</f>
        <v>0</v>
      </c>
      <c r="N48">
        <f>IF(SUMPRODUCT(('alle Dateien'!B:B=Bohrungen!B48)*('alle Dateien'!D:D="png"))&gt;0,1,0)</f>
        <v>0</v>
      </c>
      <c r="O48">
        <f>IF(SUMPRODUCT(('alle Dateien'!B:B=Bohrungen!B48)*('alle Dateien'!D:D="xls"))&gt;0,1,0)</f>
        <v>0</v>
      </c>
      <c r="P48">
        <f>IF(SUMPRODUCT(('alle Dateien'!B:B=Bohrungen!B48)*('alle Dateien'!D:D="txt"))&gt;0,1,0)</f>
        <v>0</v>
      </c>
      <c r="Q48">
        <f>IF(SUMPRODUCT(('alle Dateien'!B:B=Bohrungen!B48)*('alle Dateien'!D:D="ZIP oder R"))&gt;0,1,0)</f>
        <v>0</v>
      </c>
      <c r="R48">
        <f>IF(SUMPRODUCT(('alle Dateien'!B:B=Bohrungen!B48)*('alle Dateien'!D:D="tsf"))&gt;0,1,0)</f>
        <v>0</v>
      </c>
      <c r="S48">
        <f>IF(SUMPRODUCT(('alle Dateien'!B:B=Bohrungen!B48)*('alle Dateien'!D:D="sch"))&gt;0,1,0)</f>
        <v>0</v>
      </c>
      <c r="U48" t="str">
        <f t="shared" si="1"/>
        <v>10000000000000000</v>
      </c>
      <c r="V48" t="str">
        <f>VLOOKUP(U48,Kategorie!B:C,2,FALSE)</f>
        <v>pdf</v>
      </c>
    </row>
    <row r="49" spans="1:22" x14ac:dyDescent="0.25">
      <c r="A49">
        <v>48</v>
      </c>
      <c r="B49" t="s">
        <v>2134</v>
      </c>
      <c r="C49" s="2">
        <f>IF(SUMPRODUCT(('alle Dateien'!B:B=Bohrungen!B49)*('alle Dateien'!D:D="pdf"))&gt;0,1,0)</f>
        <v>0</v>
      </c>
      <c r="D49">
        <f>IF(SUMPRODUCT(('alle Dateien'!B:B=Bohrungen!B49)*('alle Dateien'!D:D="tif"))&gt;0,1,0)</f>
        <v>0</v>
      </c>
      <c r="E49">
        <f>IF(SUMPRODUCT(('alle Dateien'!B:B=Bohrungen!B49)*('alle Dateien'!D:D="sdg"))&gt;0,1,0)</f>
        <v>1</v>
      </c>
      <c r="F49">
        <f>IF(SUMPRODUCT(('alle Dateien'!B:B=Bohrungen!B49)*('alle Dateien'!D:D="xlsx"))&gt;0,1,0)</f>
        <v>1</v>
      </c>
      <c r="G49">
        <f>IF(SUMPRODUCT(('alle Dateien'!B:B=Bohrungen!B49)*('alle Dateien'!D:D="docx"))&gt;0,1,0)</f>
        <v>0</v>
      </c>
      <c r="H49">
        <f>IF(SUMPRODUCT(('alle Dateien'!B:B=Bohrungen!B49)*('alle Dateien'!D:D="las"))&gt;0,1,0)</f>
        <v>1</v>
      </c>
      <c r="I49">
        <f>IF(SUMPRODUCT(('alle Dateien'!B:B=Bohrungen!B49)*('alle Dateien'!D:D="db"))&gt;0,1,0)</f>
        <v>0</v>
      </c>
      <c r="J49">
        <f>IF(SUMPRODUCT(('alle Dateien'!B:B=Bohrungen!B49)*('alle Dateien'!D:D="rhistory"))&gt;0,1,0)</f>
        <v>0</v>
      </c>
      <c r="K49">
        <f>IF(SUMPRODUCT(('alle Dateien'!B:B=Bohrungen!B49)*('alle Dateien'!D:D="mdb"))&gt;0,1,0)</f>
        <v>0</v>
      </c>
      <c r="L49">
        <f>IF(SUMPRODUCT(('alle Dateien'!B:B=Bohrungen!B49)*('alle Dateien'!D:D="xml"))&gt;0,1,0)</f>
        <v>0</v>
      </c>
      <c r="M49">
        <f>IF(SUMPRODUCT(('alle Dateien'!B:B=Bohrungen!B49)*('alle Dateien'!D:D="jpg"))&gt;0,1,0)</f>
        <v>0</v>
      </c>
      <c r="N49">
        <f>IF(SUMPRODUCT(('alle Dateien'!B:B=Bohrungen!B49)*('alle Dateien'!D:D="png"))&gt;0,1,0)</f>
        <v>0</v>
      </c>
      <c r="O49">
        <f>IF(SUMPRODUCT(('alle Dateien'!B:B=Bohrungen!B49)*('alle Dateien'!D:D="xls"))&gt;0,1,0)</f>
        <v>0</v>
      </c>
      <c r="P49">
        <f>IF(SUMPRODUCT(('alle Dateien'!B:B=Bohrungen!B49)*('alle Dateien'!D:D="txt"))&gt;0,1,0)</f>
        <v>0</v>
      </c>
      <c r="Q49">
        <f>IF(SUMPRODUCT(('alle Dateien'!B:B=Bohrungen!B49)*('alle Dateien'!D:D="ZIP oder R"))&gt;0,1,0)</f>
        <v>0</v>
      </c>
      <c r="R49">
        <f>IF(SUMPRODUCT(('alle Dateien'!B:B=Bohrungen!B49)*('alle Dateien'!D:D="tsf"))&gt;0,1,0)</f>
        <v>0</v>
      </c>
      <c r="S49">
        <f>IF(SUMPRODUCT(('alle Dateien'!B:B=Bohrungen!B49)*('alle Dateien'!D:D="sch"))&gt;0,1,0)</f>
        <v>0</v>
      </c>
      <c r="U49" t="str">
        <f t="shared" si="1"/>
        <v>00110100000000000</v>
      </c>
      <c r="V49" t="str">
        <f>VLOOKUP(U49,Kategorie!B:C,2,FALSE)</f>
        <v>sdg/ xlsx/ las</v>
      </c>
    </row>
    <row r="50" spans="1:22" x14ac:dyDescent="0.25">
      <c r="A50">
        <v>49</v>
      </c>
      <c r="B50" t="s">
        <v>2135</v>
      </c>
      <c r="C50" s="2">
        <f>IF(SUMPRODUCT(('alle Dateien'!B:B=Bohrungen!B50)*('alle Dateien'!D:D="pdf"))&gt;0,1,0)</f>
        <v>0</v>
      </c>
      <c r="D50">
        <f>IF(SUMPRODUCT(('alle Dateien'!B:B=Bohrungen!B50)*('alle Dateien'!D:D="tif"))&gt;0,1,0)</f>
        <v>0</v>
      </c>
      <c r="E50">
        <f>IF(SUMPRODUCT(('alle Dateien'!B:B=Bohrungen!B50)*('alle Dateien'!D:D="sdg"))&gt;0,1,0)</f>
        <v>1</v>
      </c>
      <c r="F50">
        <f>IF(SUMPRODUCT(('alle Dateien'!B:B=Bohrungen!B50)*('alle Dateien'!D:D="xlsx"))&gt;0,1,0)</f>
        <v>1</v>
      </c>
      <c r="G50">
        <f>IF(SUMPRODUCT(('alle Dateien'!B:B=Bohrungen!B50)*('alle Dateien'!D:D="docx"))&gt;0,1,0)</f>
        <v>0</v>
      </c>
      <c r="H50">
        <f>IF(SUMPRODUCT(('alle Dateien'!B:B=Bohrungen!B50)*('alle Dateien'!D:D="las"))&gt;0,1,0)</f>
        <v>1</v>
      </c>
      <c r="I50">
        <f>IF(SUMPRODUCT(('alle Dateien'!B:B=Bohrungen!B50)*('alle Dateien'!D:D="db"))&gt;0,1,0)</f>
        <v>0</v>
      </c>
      <c r="J50">
        <f>IF(SUMPRODUCT(('alle Dateien'!B:B=Bohrungen!B50)*('alle Dateien'!D:D="rhistory"))&gt;0,1,0)</f>
        <v>0</v>
      </c>
      <c r="K50">
        <f>IF(SUMPRODUCT(('alle Dateien'!B:B=Bohrungen!B50)*('alle Dateien'!D:D="mdb"))&gt;0,1,0)</f>
        <v>0</v>
      </c>
      <c r="L50">
        <f>IF(SUMPRODUCT(('alle Dateien'!B:B=Bohrungen!B50)*('alle Dateien'!D:D="xml"))&gt;0,1,0)</f>
        <v>0</v>
      </c>
      <c r="M50">
        <f>IF(SUMPRODUCT(('alle Dateien'!B:B=Bohrungen!B50)*('alle Dateien'!D:D="jpg"))&gt;0,1,0)</f>
        <v>0</v>
      </c>
      <c r="N50">
        <f>IF(SUMPRODUCT(('alle Dateien'!B:B=Bohrungen!B50)*('alle Dateien'!D:D="png"))&gt;0,1,0)</f>
        <v>0</v>
      </c>
      <c r="O50">
        <f>IF(SUMPRODUCT(('alle Dateien'!B:B=Bohrungen!B50)*('alle Dateien'!D:D="xls"))&gt;0,1,0)</f>
        <v>0</v>
      </c>
      <c r="P50">
        <f>IF(SUMPRODUCT(('alle Dateien'!B:B=Bohrungen!B50)*('alle Dateien'!D:D="txt"))&gt;0,1,0)</f>
        <v>0</v>
      </c>
      <c r="Q50">
        <f>IF(SUMPRODUCT(('alle Dateien'!B:B=Bohrungen!B50)*('alle Dateien'!D:D="ZIP oder R"))&gt;0,1,0)</f>
        <v>0</v>
      </c>
      <c r="R50">
        <f>IF(SUMPRODUCT(('alle Dateien'!B:B=Bohrungen!B50)*('alle Dateien'!D:D="tsf"))&gt;0,1,0)</f>
        <v>0</v>
      </c>
      <c r="S50">
        <f>IF(SUMPRODUCT(('alle Dateien'!B:B=Bohrungen!B50)*('alle Dateien'!D:D="sch"))&gt;0,1,0)</f>
        <v>0</v>
      </c>
      <c r="U50" t="str">
        <f t="shared" si="1"/>
        <v>00110100000000000</v>
      </c>
      <c r="V50" t="str">
        <f>VLOOKUP(U50,Kategorie!B:C,2,FALSE)</f>
        <v>sdg/ xlsx/ las</v>
      </c>
    </row>
    <row r="51" spans="1:22" x14ac:dyDescent="0.25">
      <c r="A51">
        <v>50</v>
      </c>
      <c r="B51" t="s">
        <v>2136</v>
      </c>
      <c r="C51" s="2">
        <f>IF(SUMPRODUCT(('alle Dateien'!B:B=Bohrungen!B51)*('alle Dateien'!D:D="pdf"))&gt;0,1,0)</f>
        <v>0</v>
      </c>
      <c r="D51">
        <f>IF(SUMPRODUCT(('alle Dateien'!B:B=Bohrungen!B51)*('alle Dateien'!D:D="tif"))&gt;0,1,0)</f>
        <v>0</v>
      </c>
      <c r="E51">
        <f>IF(SUMPRODUCT(('alle Dateien'!B:B=Bohrungen!B51)*('alle Dateien'!D:D="sdg"))&gt;0,1,0)</f>
        <v>1</v>
      </c>
      <c r="F51">
        <f>IF(SUMPRODUCT(('alle Dateien'!B:B=Bohrungen!B51)*('alle Dateien'!D:D="xlsx"))&gt;0,1,0)</f>
        <v>1</v>
      </c>
      <c r="G51">
        <f>IF(SUMPRODUCT(('alle Dateien'!B:B=Bohrungen!B51)*('alle Dateien'!D:D="docx"))&gt;0,1,0)</f>
        <v>0</v>
      </c>
      <c r="H51">
        <f>IF(SUMPRODUCT(('alle Dateien'!B:B=Bohrungen!B51)*('alle Dateien'!D:D="las"))&gt;0,1,0)</f>
        <v>1</v>
      </c>
      <c r="I51">
        <f>IF(SUMPRODUCT(('alle Dateien'!B:B=Bohrungen!B51)*('alle Dateien'!D:D="db"))&gt;0,1,0)</f>
        <v>0</v>
      </c>
      <c r="J51">
        <f>IF(SUMPRODUCT(('alle Dateien'!B:B=Bohrungen!B51)*('alle Dateien'!D:D="rhistory"))&gt;0,1,0)</f>
        <v>0</v>
      </c>
      <c r="K51">
        <f>IF(SUMPRODUCT(('alle Dateien'!B:B=Bohrungen!B51)*('alle Dateien'!D:D="mdb"))&gt;0,1,0)</f>
        <v>0</v>
      </c>
      <c r="L51">
        <f>IF(SUMPRODUCT(('alle Dateien'!B:B=Bohrungen!B51)*('alle Dateien'!D:D="xml"))&gt;0,1,0)</f>
        <v>0</v>
      </c>
      <c r="M51">
        <f>IF(SUMPRODUCT(('alle Dateien'!B:B=Bohrungen!B51)*('alle Dateien'!D:D="jpg"))&gt;0,1,0)</f>
        <v>0</v>
      </c>
      <c r="N51">
        <f>IF(SUMPRODUCT(('alle Dateien'!B:B=Bohrungen!B51)*('alle Dateien'!D:D="png"))&gt;0,1,0)</f>
        <v>0</v>
      </c>
      <c r="O51">
        <f>IF(SUMPRODUCT(('alle Dateien'!B:B=Bohrungen!B51)*('alle Dateien'!D:D="xls"))&gt;0,1,0)</f>
        <v>0</v>
      </c>
      <c r="P51">
        <f>IF(SUMPRODUCT(('alle Dateien'!B:B=Bohrungen!B51)*('alle Dateien'!D:D="txt"))&gt;0,1,0)</f>
        <v>0</v>
      </c>
      <c r="Q51">
        <f>IF(SUMPRODUCT(('alle Dateien'!B:B=Bohrungen!B51)*('alle Dateien'!D:D="ZIP oder R"))&gt;0,1,0)</f>
        <v>0</v>
      </c>
      <c r="R51">
        <f>IF(SUMPRODUCT(('alle Dateien'!B:B=Bohrungen!B51)*('alle Dateien'!D:D="tsf"))&gt;0,1,0)</f>
        <v>0</v>
      </c>
      <c r="S51">
        <f>IF(SUMPRODUCT(('alle Dateien'!B:B=Bohrungen!B51)*('alle Dateien'!D:D="sch"))&gt;0,1,0)</f>
        <v>0</v>
      </c>
      <c r="U51" t="str">
        <f t="shared" si="1"/>
        <v>00110100000000000</v>
      </c>
      <c r="V51" t="str">
        <f>VLOOKUP(U51,Kategorie!B:C,2,FALSE)</f>
        <v>sdg/ xlsx/ las</v>
      </c>
    </row>
    <row r="52" spans="1:22" x14ac:dyDescent="0.25">
      <c r="A52">
        <v>51</v>
      </c>
      <c r="B52" t="s">
        <v>2137</v>
      </c>
      <c r="C52" s="2">
        <f>IF(SUMPRODUCT(('alle Dateien'!B:B=Bohrungen!B52)*('alle Dateien'!D:D="pdf"))&gt;0,1,0)</f>
        <v>1</v>
      </c>
      <c r="D52">
        <f>IF(SUMPRODUCT(('alle Dateien'!B:B=Bohrungen!B52)*('alle Dateien'!D:D="tif"))&gt;0,1,0)</f>
        <v>1</v>
      </c>
      <c r="E52">
        <f>IF(SUMPRODUCT(('alle Dateien'!B:B=Bohrungen!B52)*('alle Dateien'!D:D="sdg"))&gt;0,1,0)</f>
        <v>0</v>
      </c>
      <c r="F52">
        <f>IF(SUMPRODUCT(('alle Dateien'!B:B=Bohrungen!B52)*('alle Dateien'!D:D="xlsx"))&gt;0,1,0)</f>
        <v>0</v>
      </c>
      <c r="G52">
        <f>IF(SUMPRODUCT(('alle Dateien'!B:B=Bohrungen!B52)*('alle Dateien'!D:D="docx"))&gt;0,1,0)</f>
        <v>0</v>
      </c>
      <c r="H52">
        <f>IF(SUMPRODUCT(('alle Dateien'!B:B=Bohrungen!B52)*('alle Dateien'!D:D="las"))&gt;0,1,0)</f>
        <v>0</v>
      </c>
      <c r="I52">
        <f>IF(SUMPRODUCT(('alle Dateien'!B:B=Bohrungen!B52)*('alle Dateien'!D:D="db"))&gt;0,1,0)</f>
        <v>0</v>
      </c>
      <c r="J52">
        <f>IF(SUMPRODUCT(('alle Dateien'!B:B=Bohrungen!B52)*('alle Dateien'!D:D="rhistory"))&gt;0,1,0)</f>
        <v>0</v>
      </c>
      <c r="K52">
        <f>IF(SUMPRODUCT(('alle Dateien'!B:B=Bohrungen!B52)*('alle Dateien'!D:D="mdb"))&gt;0,1,0)</f>
        <v>0</v>
      </c>
      <c r="L52">
        <f>IF(SUMPRODUCT(('alle Dateien'!B:B=Bohrungen!B52)*('alle Dateien'!D:D="xml"))&gt;0,1,0)</f>
        <v>0</v>
      </c>
      <c r="M52">
        <f>IF(SUMPRODUCT(('alle Dateien'!B:B=Bohrungen!B52)*('alle Dateien'!D:D="jpg"))&gt;0,1,0)</f>
        <v>0</v>
      </c>
      <c r="N52">
        <f>IF(SUMPRODUCT(('alle Dateien'!B:B=Bohrungen!B52)*('alle Dateien'!D:D="png"))&gt;0,1,0)</f>
        <v>0</v>
      </c>
      <c r="O52">
        <f>IF(SUMPRODUCT(('alle Dateien'!B:B=Bohrungen!B52)*('alle Dateien'!D:D="xls"))&gt;0,1,0)</f>
        <v>0</v>
      </c>
      <c r="P52">
        <f>IF(SUMPRODUCT(('alle Dateien'!B:B=Bohrungen!B52)*('alle Dateien'!D:D="txt"))&gt;0,1,0)</f>
        <v>0</v>
      </c>
      <c r="Q52">
        <f>IF(SUMPRODUCT(('alle Dateien'!B:B=Bohrungen!B52)*('alle Dateien'!D:D="ZIP oder R"))&gt;0,1,0)</f>
        <v>0</v>
      </c>
      <c r="R52">
        <f>IF(SUMPRODUCT(('alle Dateien'!B:B=Bohrungen!B52)*('alle Dateien'!D:D="tsf"))&gt;0,1,0)</f>
        <v>0</v>
      </c>
      <c r="S52">
        <f>IF(SUMPRODUCT(('alle Dateien'!B:B=Bohrungen!B52)*('alle Dateien'!D:D="sch"))&gt;0,1,0)</f>
        <v>0</v>
      </c>
      <c r="U52" t="str">
        <f t="shared" si="1"/>
        <v>11000000000000000</v>
      </c>
      <c r="V52" t="str">
        <f>VLOOKUP(U52,Kategorie!B:C,2,FALSE)</f>
        <v>pdf/ tif</v>
      </c>
    </row>
    <row r="53" spans="1:22" x14ac:dyDescent="0.25">
      <c r="A53">
        <v>52</v>
      </c>
      <c r="B53" t="s">
        <v>2138</v>
      </c>
      <c r="C53" s="2">
        <f>IF(SUMPRODUCT(('alle Dateien'!B:B=Bohrungen!B53)*('alle Dateien'!D:D="pdf"))&gt;0,1,0)</f>
        <v>1</v>
      </c>
      <c r="D53">
        <f>IF(SUMPRODUCT(('alle Dateien'!B:B=Bohrungen!B53)*('alle Dateien'!D:D="tif"))&gt;0,1,0)</f>
        <v>0</v>
      </c>
      <c r="E53">
        <f>IF(SUMPRODUCT(('alle Dateien'!B:B=Bohrungen!B53)*('alle Dateien'!D:D="sdg"))&gt;0,1,0)</f>
        <v>1</v>
      </c>
      <c r="F53">
        <f>IF(SUMPRODUCT(('alle Dateien'!B:B=Bohrungen!B53)*('alle Dateien'!D:D="xlsx"))&gt;0,1,0)</f>
        <v>1</v>
      </c>
      <c r="G53">
        <f>IF(SUMPRODUCT(('alle Dateien'!B:B=Bohrungen!B53)*('alle Dateien'!D:D="docx"))&gt;0,1,0)</f>
        <v>1</v>
      </c>
      <c r="H53">
        <f>IF(SUMPRODUCT(('alle Dateien'!B:B=Bohrungen!B53)*('alle Dateien'!D:D="las"))&gt;0,1,0)</f>
        <v>0</v>
      </c>
      <c r="I53">
        <f>IF(SUMPRODUCT(('alle Dateien'!B:B=Bohrungen!B53)*('alle Dateien'!D:D="db"))&gt;0,1,0)</f>
        <v>0</v>
      </c>
      <c r="J53">
        <f>IF(SUMPRODUCT(('alle Dateien'!B:B=Bohrungen!B53)*('alle Dateien'!D:D="rhistory"))&gt;0,1,0)</f>
        <v>0</v>
      </c>
      <c r="K53">
        <f>IF(SUMPRODUCT(('alle Dateien'!B:B=Bohrungen!B53)*('alle Dateien'!D:D="mdb"))&gt;0,1,0)</f>
        <v>0</v>
      </c>
      <c r="L53">
        <f>IF(SUMPRODUCT(('alle Dateien'!B:B=Bohrungen!B53)*('alle Dateien'!D:D="xml"))&gt;0,1,0)</f>
        <v>0</v>
      </c>
      <c r="M53">
        <f>IF(SUMPRODUCT(('alle Dateien'!B:B=Bohrungen!B53)*('alle Dateien'!D:D="jpg"))&gt;0,1,0)</f>
        <v>1</v>
      </c>
      <c r="N53">
        <f>IF(SUMPRODUCT(('alle Dateien'!B:B=Bohrungen!B53)*('alle Dateien'!D:D="png"))&gt;0,1,0)</f>
        <v>0</v>
      </c>
      <c r="O53">
        <f>IF(SUMPRODUCT(('alle Dateien'!B:B=Bohrungen!B53)*('alle Dateien'!D:D="xls"))&gt;0,1,0)</f>
        <v>1</v>
      </c>
      <c r="P53">
        <f>IF(SUMPRODUCT(('alle Dateien'!B:B=Bohrungen!B53)*('alle Dateien'!D:D="txt"))&gt;0,1,0)</f>
        <v>1</v>
      </c>
      <c r="Q53">
        <f>IF(SUMPRODUCT(('alle Dateien'!B:B=Bohrungen!B53)*('alle Dateien'!D:D="ZIP oder R"))&gt;0,1,0)</f>
        <v>1</v>
      </c>
      <c r="R53">
        <f>IF(SUMPRODUCT(('alle Dateien'!B:B=Bohrungen!B53)*('alle Dateien'!D:D="tsf"))&gt;0,1,0)</f>
        <v>0</v>
      </c>
      <c r="S53">
        <f>IF(SUMPRODUCT(('alle Dateien'!B:B=Bohrungen!B53)*('alle Dateien'!D:D="sch"))&gt;0,1,0)</f>
        <v>0</v>
      </c>
      <c r="U53" t="str">
        <f t="shared" si="1"/>
        <v>10111000001011100</v>
      </c>
      <c r="V53" t="str">
        <f>VLOOKUP(U53,Kategorie!B:C,2,FALSE)</f>
        <v>pdf/ sdg/ xlsx/ docx/ jpg/ xls/ txt/ ZIP oder R</v>
      </c>
    </row>
    <row r="54" spans="1:22" x14ac:dyDescent="0.25">
      <c r="A54">
        <v>53</v>
      </c>
      <c r="B54" t="s">
        <v>2139</v>
      </c>
      <c r="C54" s="2">
        <f>IF(SUMPRODUCT(('alle Dateien'!B:B=Bohrungen!B54)*('alle Dateien'!D:D="pdf"))&gt;0,1,0)</f>
        <v>1</v>
      </c>
      <c r="D54">
        <f>IF(SUMPRODUCT(('alle Dateien'!B:B=Bohrungen!B54)*('alle Dateien'!D:D="tif"))&gt;0,1,0)</f>
        <v>0</v>
      </c>
      <c r="E54">
        <f>IF(SUMPRODUCT(('alle Dateien'!B:B=Bohrungen!B54)*('alle Dateien'!D:D="sdg"))&gt;0,1,0)</f>
        <v>1</v>
      </c>
      <c r="F54">
        <f>IF(SUMPRODUCT(('alle Dateien'!B:B=Bohrungen!B54)*('alle Dateien'!D:D="xlsx"))&gt;0,1,0)</f>
        <v>1</v>
      </c>
      <c r="G54">
        <f>IF(SUMPRODUCT(('alle Dateien'!B:B=Bohrungen!B54)*('alle Dateien'!D:D="docx"))&gt;0,1,0)</f>
        <v>0</v>
      </c>
      <c r="H54">
        <f>IF(SUMPRODUCT(('alle Dateien'!B:B=Bohrungen!B54)*('alle Dateien'!D:D="las"))&gt;0,1,0)</f>
        <v>1</v>
      </c>
      <c r="I54">
        <f>IF(SUMPRODUCT(('alle Dateien'!B:B=Bohrungen!B54)*('alle Dateien'!D:D="db"))&gt;0,1,0)</f>
        <v>0</v>
      </c>
      <c r="J54">
        <f>IF(SUMPRODUCT(('alle Dateien'!B:B=Bohrungen!B54)*('alle Dateien'!D:D="rhistory"))&gt;0,1,0)</f>
        <v>0</v>
      </c>
      <c r="K54">
        <f>IF(SUMPRODUCT(('alle Dateien'!B:B=Bohrungen!B54)*('alle Dateien'!D:D="mdb"))&gt;0,1,0)</f>
        <v>0</v>
      </c>
      <c r="L54">
        <f>IF(SUMPRODUCT(('alle Dateien'!B:B=Bohrungen!B54)*('alle Dateien'!D:D="xml"))&gt;0,1,0)</f>
        <v>0</v>
      </c>
      <c r="M54">
        <f>IF(SUMPRODUCT(('alle Dateien'!B:B=Bohrungen!B54)*('alle Dateien'!D:D="jpg"))&gt;0,1,0)</f>
        <v>0</v>
      </c>
      <c r="N54">
        <f>IF(SUMPRODUCT(('alle Dateien'!B:B=Bohrungen!B54)*('alle Dateien'!D:D="png"))&gt;0,1,0)</f>
        <v>0</v>
      </c>
      <c r="O54">
        <f>IF(SUMPRODUCT(('alle Dateien'!B:B=Bohrungen!B54)*('alle Dateien'!D:D="xls"))&gt;0,1,0)</f>
        <v>0</v>
      </c>
      <c r="P54">
        <f>IF(SUMPRODUCT(('alle Dateien'!B:B=Bohrungen!B54)*('alle Dateien'!D:D="txt"))&gt;0,1,0)</f>
        <v>0</v>
      </c>
      <c r="Q54">
        <f>IF(SUMPRODUCT(('alle Dateien'!B:B=Bohrungen!B54)*('alle Dateien'!D:D="ZIP oder R"))&gt;0,1,0)</f>
        <v>0</v>
      </c>
      <c r="R54">
        <f>IF(SUMPRODUCT(('alle Dateien'!B:B=Bohrungen!B54)*('alle Dateien'!D:D="tsf"))&gt;0,1,0)</f>
        <v>0</v>
      </c>
      <c r="S54">
        <f>IF(SUMPRODUCT(('alle Dateien'!B:B=Bohrungen!B54)*('alle Dateien'!D:D="sch"))&gt;0,1,0)</f>
        <v>0</v>
      </c>
      <c r="U54" t="str">
        <f t="shared" si="1"/>
        <v>10110100000000000</v>
      </c>
      <c r="V54" t="str">
        <f>VLOOKUP(U54,Kategorie!B:C,2,FALSE)</f>
        <v>pdf/ sdg/ xlsx/ las</v>
      </c>
    </row>
    <row r="55" spans="1:22" x14ac:dyDescent="0.25">
      <c r="A55">
        <v>54</v>
      </c>
      <c r="B55" t="s">
        <v>2140</v>
      </c>
      <c r="C55" s="2">
        <f>IF(SUMPRODUCT(('alle Dateien'!B:B=Bohrungen!B55)*('alle Dateien'!D:D="pdf"))&gt;0,1,0)</f>
        <v>1</v>
      </c>
      <c r="D55">
        <f>IF(SUMPRODUCT(('alle Dateien'!B:B=Bohrungen!B55)*('alle Dateien'!D:D="tif"))&gt;0,1,0)</f>
        <v>1</v>
      </c>
      <c r="E55">
        <f>IF(SUMPRODUCT(('alle Dateien'!B:B=Bohrungen!B55)*('alle Dateien'!D:D="sdg"))&gt;0,1,0)</f>
        <v>0</v>
      </c>
      <c r="F55">
        <f>IF(SUMPRODUCT(('alle Dateien'!B:B=Bohrungen!B55)*('alle Dateien'!D:D="xlsx"))&gt;0,1,0)</f>
        <v>0</v>
      </c>
      <c r="G55">
        <f>IF(SUMPRODUCT(('alle Dateien'!B:B=Bohrungen!B55)*('alle Dateien'!D:D="docx"))&gt;0,1,0)</f>
        <v>0</v>
      </c>
      <c r="H55">
        <f>IF(SUMPRODUCT(('alle Dateien'!B:B=Bohrungen!B55)*('alle Dateien'!D:D="las"))&gt;0,1,0)</f>
        <v>0</v>
      </c>
      <c r="I55">
        <f>IF(SUMPRODUCT(('alle Dateien'!B:B=Bohrungen!B55)*('alle Dateien'!D:D="db"))&gt;0,1,0)</f>
        <v>0</v>
      </c>
      <c r="J55">
        <f>IF(SUMPRODUCT(('alle Dateien'!B:B=Bohrungen!B55)*('alle Dateien'!D:D="rhistory"))&gt;0,1,0)</f>
        <v>0</v>
      </c>
      <c r="K55">
        <f>IF(SUMPRODUCT(('alle Dateien'!B:B=Bohrungen!B55)*('alle Dateien'!D:D="mdb"))&gt;0,1,0)</f>
        <v>0</v>
      </c>
      <c r="L55">
        <f>IF(SUMPRODUCT(('alle Dateien'!B:B=Bohrungen!B55)*('alle Dateien'!D:D="xml"))&gt;0,1,0)</f>
        <v>0</v>
      </c>
      <c r="M55">
        <f>IF(SUMPRODUCT(('alle Dateien'!B:B=Bohrungen!B55)*('alle Dateien'!D:D="jpg"))&gt;0,1,0)</f>
        <v>0</v>
      </c>
      <c r="N55">
        <f>IF(SUMPRODUCT(('alle Dateien'!B:B=Bohrungen!B55)*('alle Dateien'!D:D="png"))&gt;0,1,0)</f>
        <v>0</v>
      </c>
      <c r="O55">
        <f>IF(SUMPRODUCT(('alle Dateien'!B:B=Bohrungen!B55)*('alle Dateien'!D:D="xls"))&gt;0,1,0)</f>
        <v>0</v>
      </c>
      <c r="P55">
        <f>IF(SUMPRODUCT(('alle Dateien'!B:B=Bohrungen!B55)*('alle Dateien'!D:D="txt"))&gt;0,1,0)</f>
        <v>0</v>
      </c>
      <c r="Q55">
        <f>IF(SUMPRODUCT(('alle Dateien'!B:B=Bohrungen!B55)*('alle Dateien'!D:D="ZIP oder R"))&gt;0,1,0)</f>
        <v>0</v>
      </c>
      <c r="R55">
        <f>IF(SUMPRODUCT(('alle Dateien'!B:B=Bohrungen!B55)*('alle Dateien'!D:D="tsf"))&gt;0,1,0)</f>
        <v>0</v>
      </c>
      <c r="S55">
        <f>IF(SUMPRODUCT(('alle Dateien'!B:B=Bohrungen!B55)*('alle Dateien'!D:D="sch"))&gt;0,1,0)</f>
        <v>0</v>
      </c>
      <c r="U55" t="str">
        <f t="shared" si="1"/>
        <v>11000000000000000</v>
      </c>
      <c r="V55" t="str">
        <f>VLOOKUP(U55,Kategorie!B:C,2,FALSE)</f>
        <v>pdf/ tif</v>
      </c>
    </row>
    <row r="56" spans="1:22" x14ac:dyDescent="0.25">
      <c r="A56">
        <v>55</v>
      </c>
      <c r="B56" t="s">
        <v>2141</v>
      </c>
      <c r="C56" s="2">
        <f>IF(SUMPRODUCT(('alle Dateien'!B:B=Bohrungen!B56)*('alle Dateien'!D:D="pdf"))&gt;0,1,0)</f>
        <v>1</v>
      </c>
      <c r="D56">
        <f>IF(SUMPRODUCT(('alle Dateien'!B:B=Bohrungen!B56)*('alle Dateien'!D:D="tif"))&gt;0,1,0)</f>
        <v>1</v>
      </c>
      <c r="E56">
        <f>IF(SUMPRODUCT(('alle Dateien'!B:B=Bohrungen!B56)*('alle Dateien'!D:D="sdg"))&gt;0,1,0)</f>
        <v>0</v>
      </c>
      <c r="F56">
        <f>IF(SUMPRODUCT(('alle Dateien'!B:B=Bohrungen!B56)*('alle Dateien'!D:D="xlsx"))&gt;0,1,0)</f>
        <v>0</v>
      </c>
      <c r="G56">
        <f>IF(SUMPRODUCT(('alle Dateien'!B:B=Bohrungen!B56)*('alle Dateien'!D:D="docx"))&gt;0,1,0)</f>
        <v>0</v>
      </c>
      <c r="H56">
        <f>IF(SUMPRODUCT(('alle Dateien'!B:B=Bohrungen!B56)*('alle Dateien'!D:D="las"))&gt;0,1,0)</f>
        <v>0</v>
      </c>
      <c r="I56">
        <f>IF(SUMPRODUCT(('alle Dateien'!B:B=Bohrungen!B56)*('alle Dateien'!D:D="db"))&gt;0,1,0)</f>
        <v>0</v>
      </c>
      <c r="J56">
        <f>IF(SUMPRODUCT(('alle Dateien'!B:B=Bohrungen!B56)*('alle Dateien'!D:D="rhistory"))&gt;0,1,0)</f>
        <v>0</v>
      </c>
      <c r="K56">
        <f>IF(SUMPRODUCT(('alle Dateien'!B:B=Bohrungen!B56)*('alle Dateien'!D:D="mdb"))&gt;0,1,0)</f>
        <v>0</v>
      </c>
      <c r="L56">
        <f>IF(SUMPRODUCT(('alle Dateien'!B:B=Bohrungen!B56)*('alle Dateien'!D:D="xml"))&gt;0,1,0)</f>
        <v>0</v>
      </c>
      <c r="M56">
        <f>IF(SUMPRODUCT(('alle Dateien'!B:B=Bohrungen!B56)*('alle Dateien'!D:D="jpg"))&gt;0,1,0)</f>
        <v>1</v>
      </c>
      <c r="N56">
        <f>IF(SUMPRODUCT(('alle Dateien'!B:B=Bohrungen!B56)*('alle Dateien'!D:D="png"))&gt;0,1,0)</f>
        <v>0</v>
      </c>
      <c r="O56">
        <f>IF(SUMPRODUCT(('alle Dateien'!B:B=Bohrungen!B56)*('alle Dateien'!D:D="xls"))&gt;0,1,0)</f>
        <v>0</v>
      </c>
      <c r="P56">
        <f>IF(SUMPRODUCT(('alle Dateien'!B:B=Bohrungen!B56)*('alle Dateien'!D:D="txt"))&gt;0,1,0)</f>
        <v>0</v>
      </c>
      <c r="Q56">
        <f>IF(SUMPRODUCT(('alle Dateien'!B:B=Bohrungen!B56)*('alle Dateien'!D:D="ZIP oder R"))&gt;0,1,0)</f>
        <v>0</v>
      </c>
      <c r="R56">
        <f>IF(SUMPRODUCT(('alle Dateien'!B:B=Bohrungen!B56)*('alle Dateien'!D:D="tsf"))&gt;0,1,0)</f>
        <v>0</v>
      </c>
      <c r="S56">
        <f>IF(SUMPRODUCT(('alle Dateien'!B:B=Bohrungen!B56)*('alle Dateien'!D:D="sch"))&gt;0,1,0)</f>
        <v>0</v>
      </c>
      <c r="U56" t="str">
        <f t="shared" si="1"/>
        <v>11000000001000000</v>
      </c>
      <c r="V56" t="str">
        <f>VLOOKUP(U56,Kategorie!B:C,2,FALSE)</f>
        <v>pdf/ tif/ jpg</v>
      </c>
    </row>
    <row r="57" spans="1:22" x14ac:dyDescent="0.25">
      <c r="A57">
        <v>56</v>
      </c>
      <c r="B57" t="s">
        <v>2142</v>
      </c>
      <c r="C57" s="2">
        <f>IF(SUMPRODUCT(('alle Dateien'!B:B=Bohrungen!B57)*('alle Dateien'!D:D="pdf"))&gt;0,1,0)</f>
        <v>1</v>
      </c>
      <c r="D57">
        <f>IF(SUMPRODUCT(('alle Dateien'!B:B=Bohrungen!B57)*('alle Dateien'!D:D="tif"))&gt;0,1,0)</f>
        <v>0</v>
      </c>
      <c r="E57">
        <f>IF(SUMPRODUCT(('alle Dateien'!B:B=Bohrungen!B57)*('alle Dateien'!D:D="sdg"))&gt;0,1,0)</f>
        <v>0</v>
      </c>
      <c r="F57">
        <f>IF(SUMPRODUCT(('alle Dateien'!B:B=Bohrungen!B57)*('alle Dateien'!D:D="xlsx"))&gt;0,1,0)</f>
        <v>0</v>
      </c>
      <c r="G57">
        <f>IF(SUMPRODUCT(('alle Dateien'!B:B=Bohrungen!B57)*('alle Dateien'!D:D="docx"))&gt;0,1,0)</f>
        <v>0</v>
      </c>
      <c r="H57">
        <f>IF(SUMPRODUCT(('alle Dateien'!B:B=Bohrungen!B57)*('alle Dateien'!D:D="las"))&gt;0,1,0)</f>
        <v>0</v>
      </c>
      <c r="I57">
        <f>IF(SUMPRODUCT(('alle Dateien'!B:B=Bohrungen!B57)*('alle Dateien'!D:D="db"))&gt;0,1,0)</f>
        <v>0</v>
      </c>
      <c r="J57">
        <f>IF(SUMPRODUCT(('alle Dateien'!B:B=Bohrungen!B57)*('alle Dateien'!D:D="rhistory"))&gt;0,1,0)</f>
        <v>0</v>
      </c>
      <c r="K57">
        <f>IF(SUMPRODUCT(('alle Dateien'!B:B=Bohrungen!B57)*('alle Dateien'!D:D="mdb"))&gt;0,1,0)</f>
        <v>0</v>
      </c>
      <c r="L57">
        <f>IF(SUMPRODUCT(('alle Dateien'!B:B=Bohrungen!B57)*('alle Dateien'!D:D="xml"))&gt;0,1,0)</f>
        <v>0</v>
      </c>
      <c r="M57">
        <f>IF(SUMPRODUCT(('alle Dateien'!B:B=Bohrungen!B57)*('alle Dateien'!D:D="jpg"))&gt;0,1,0)</f>
        <v>1</v>
      </c>
      <c r="N57">
        <f>IF(SUMPRODUCT(('alle Dateien'!B:B=Bohrungen!B57)*('alle Dateien'!D:D="png"))&gt;0,1,0)</f>
        <v>0</v>
      </c>
      <c r="O57">
        <f>IF(SUMPRODUCT(('alle Dateien'!B:B=Bohrungen!B57)*('alle Dateien'!D:D="xls"))&gt;0,1,0)</f>
        <v>0</v>
      </c>
      <c r="P57">
        <f>IF(SUMPRODUCT(('alle Dateien'!B:B=Bohrungen!B57)*('alle Dateien'!D:D="txt"))&gt;0,1,0)</f>
        <v>0</v>
      </c>
      <c r="Q57">
        <f>IF(SUMPRODUCT(('alle Dateien'!B:B=Bohrungen!B57)*('alle Dateien'!D:D="ZIP oder R"))&gt;0,1,0)</f>
        <v>0</v>
      </c>
      <c r="R57">
        <f>IF(SUMPRODUCT(('alle Dateien'!B:B=Bohrungen!B57)*('alle Dateien'!D:D="tsf"))&gt;0,1,0)</f>
        <v>0</v>
      </c>
      <c r="S57">
        <f>IF(SUMPRODUCT(('alle Dateien'!B:B=Bohrungen!B57)*('alle Dateien'!D:D="sch"))&gt;0,1,0)</f>
        <v>0</v>
      </c>
      <c r="U57" t="str">
        <f t="shared" si="1"/>
        <v>10000000001000000</v>
      </c>
      <c r="V57" t="str">
        <f>VLOOKUP(U57,Kategorie!B:C,2,FALSE)</f>
        <v>pdf/ jpg</v>
      </c>
    </row>
    <row r="58" spans="1:22" x14ac:dyDescent="0.25">
      <c r="A58">
        <v>57</v>
      </c>
      <c r="B58" t="s">
        <v>2271</v>
      </c>
      <c r="C58" s="2">
        <f>IF(SUMPRODUCT(('alle Dateien'!B:B=Bohrungen!B58)*('alle Dateien'!D:D="pdf"))&gt;0,1,0)</f>
        <v>0</v>
      </c>
      <c r="D58">
        <f>IF(SUMPRODUCT(('alle Dateien'!B:B=Bohrungen!B58)*('alle Dateien'!D:D="tif"))&gt;0,1,0)</f>
        <v>0</v>
      </c>
      <c r="E58">
        <f>IF(SUMPRODUCT(('alle Dateien'!B:B=Bohrungen!B58)*('alle Dateien'!D:D="sdg"))&gt;0,1,0)</f>
        <v>0</v>
      </c>
      <c r="F58">
        <f>IF(SUMPRODUCT(('alle Dateien'!B:B=Bohrungen!B58)*('alle Dateien'!D:D="xlsx"))&gt;0,1,0)</f>
        <v>1</v>
      </c>
      <c r="G58">
        <f>IF(SUMPRODUCT(('alle Dateien'!B:B=Bohrungen!B58)*('alle Dateien'!D:D="docx"))&gt;0,1,0)</f>
        <v>0</v>
      </c>
      <c r="H58">
        <f>IF(SUMPRODUCT(('alle Dateien'!B:B=Bohrungen!B58)*('alle Dateien'!D:D="las"))&gt;0,1,0)</f>
        <v>0</v>
      </c>
      <c r="I58">
        <f>IF(SUMPRODUCT(('alle Dateien'!B:B=Bohrungen!B58)*('alle Dateien'!D:D="db"))&gt;0,1,0)</f>
        <v>0</v>
      </c>
      <c r="J58">
        <f>IF(SUMPRODUCT(('alle Dateien'!B:B=Bohrungen!B58)*('alle Dateien'!D:D="rhistory"))&gt;0,1,0)</f>
        <v>0</v>
      </c>
      <c r="K58">
        <f>IF(SUMPRODUCT(('alle Dateien'!B:B=Bohrungen!B58)*('alle Dateien'!D:D="mdb"))&gt;0,1,0)</f>
        <v>0</v>
      </c>
      <c r="L58">
        <f>IF(SUMPRODUCT(('alle Dateien'!B:B=Bohrungen!B58)*('alle Dateien'!D:D="xml"))&gt;0,1,0)</f>
        <v>0</v>
      </c>
      <c r="M58">
        <f>IF(SUMPRODUCT(('alle Dateien'!B:B=Bohrungen!B58)*('alle Dateien'!D:D="jpg"))&gt;0,1,0)</f>
        <v>0</v>
      </c>
      <c r="N58">
        <f>IF(SUMPRODUCT(('alle Dateien'!B:B=Bohrungen!B58)*('alle Dateien'!D:D="png"))&gt;0,1,0)</f>
        <v>0</v>
      </c>
      <c r="O58">
        <f>IF(SUMPRODUCT(('alle Dateien'!B:B=Bohrungen!B58)*('alle Dateien'!D:D="xls"))&gt;0,1,0)</f>
        <v>0</v>
      </c>
      <c r="P58">
        <f>IF(SUMPRODUCT(('alle Dateien'!B:B=Bohrungen!B58)*('alle Dateien'!D:D="txt"))&gt;0,1,0)</f>
        <v>0</v>
      </c>
      <c r="Q58">
        <f>IF(SUMPRODUCT(('alle Dateien'!B:B=Bohrungen!B58)*('alle Dateien'!D:D="ZIP oder R"))&gt;0,1,0)</f>
        <v>0</v>
      </c>
      <c r="R58">
        <f>IF(SUMPRODUCT(('alle Dateien'!B:B=Bohrungen!B58)*('alle Dateien'!D:D="tsf"))&gt;0,1,0)</f>
        <v>0</v>
      </c>
      <c r="S58">
        <f>IF(SUMPRODUCT(('alle Dateien'!B:B=Bohrungen!B58)*('alle Dateien'!D:D="sch"))&gt;0,1,0)</f>
        <v>0</v>
      </c>
      <c r="U58" t="str">
        <f t="shared" si="1"/>
        <v>00010000000000000</v>
      </c>
      <c r="V58" t="str">
        <f>VLOOKUP(U58,Kategorie!B:C,2,FALSE)</f>
        <v>xlsx</v>
      </c>
    </row>
    <row r="59" spans="1:22" x14ac:dyDescent="0.25">
      <c r="A59">
        <v>58</v>
      </c>
      <c r="B59" t="s">
        <v>2143</v>
      </c>
      <c r="C59" s="2">
        <f>IF(SUMPRODUCT(('alle Dateien'!B:B=Bohrungen!B59)*('alle Dateien'!D:D="pdf"))&gt;0,1,0)</f>
        <v>1</v>
      </c>
      <c r="D59">
        <f>IF(SUMPRODUCT(('alle Dateien'!B:B=Bohrungen!B59)*('alle Dateien'!D:D="tif"))&gt;0,1,0)</f>
        <v>0</v>
      </c>
      <c r="E59">
        <f>IF(SUMPRODUCT(('alle Dateien'!B:B=Bohrungen!B59)*('alle Dateien'!D:D="sdg"))&gt;0,1,0)</f>
        <v>0</v>
      </c>
      <c r="F59">
        <f>IF(SUMPRODUCT(('alle Dateien'!B:B=Bohrungen!B59)*('alle Dateien'!D:D="xlsx"))&gt;0,1,0)</f>
        <v>0</v>
      </c>
      <c r="G59">
        <f>IF(SUMPRODUCT(('alle Dateien'!B:B=Bohrungen!B59)*('alle Dateien'!D:D="docx"))&gt;0,1,0)</f>
        <v>0</v>
      </c>
      <c r="H59">
        <f>IF(SUMPRODUCT(('alle Dateien'!B:B=Bohrungen!B59)*('alle Dateien'!D:D="las"))&gt;0,1,0)</f>
        <v>0</v>
      </c>
      <c r="I59">
        <f>IF(SUMPRODUCT(('alle Dateien'!B:B=Bohrungen!B59)*('alle Dateien'!D:D="db"))&gt;0,1,0)</f>
        <v>0</v>
      </c>
      <c r="J59">
        <f>IF(SUMPRODUCT(('alle Dateien'!B:B=Bohrungen!B59)*('alle Dateien'!D:D="rhistory"))&gt;0,1,0)</f>
        <v>0</v>
      </c>
      <c r="K59">
        <f>IF(SUMPRODUCT(('alle Dateien'!B:B=Bohrungen!B59)*('alle Dateien'!D:D="mdb"))&gt;0,1,0)</f>
        <v>0</v>
      </c>
      <c r="L59">
        <f>IF(SUMPRODUCT(('alle Dateien'!B:B=Bohrungen!B59)*('alle Dateien'!D:D="xml"))&gt;0,1,0)</f>
        <v>0</v>
      </c>
      <c r="M59">
        <f>IF(SUMPRODUCT(('alle Dateien'!B:B=Bohrungen!B59)*('alle Dateien'!D:D="jpg"))&gt;0,1,0)</f>
        <v>0</v>
      </c>
      <c r="N59">
        <f>IF(SUMPRODUCT(('alle Dateien'!B:B=Bohrungen!B59)*('alle Dateien'!D:D="png"))&gt;0,1,0)</f>
        <v>0</v>
      </c>
      <c r="O59">
        <f>IF(SUMPRODUCT(('alle Dateien'!B:B=Bohrungen!B59)*('alle Dateien'!D:D="xls"))&gt;0,1,0)</f>
        <v>0</v>
      </c>
      <c r="P59">
        <f>IF(SUMPRODUCT(('alle Dateien'!B:B=Bohrungen!B59)*('alle Dateien'!D:D="txt"))&gt;0,1,0)</f>
        <v>0</v>
      </c>
      <c r="Q59">
        <f>IF(SUMPRODUCT(('alle Dateien'!B:B=Bohrungen!B59)*('alle Dateien'!D:D="ZIP oder R"))&gt;0,1,0)</f>
        <v>0</v>
      </c>
      <c r="R59">
        <f>IF(SUMPRODUCT(('alle Dateien'!B:B=Bohrungen!B59)*('alle Dateien'!D:D="tsf"))&gt;0,1,0)</f>
        <v>0</v>
      </c>
      <c r="S59">
        <f>IF(SUMPRODUCT(('alle Dateien'!B:B=Bohrungen!B59)*('alle Dateien'!D:D="sch"))&gt;0,1,0)</f>
        <v>0</v>
      </c>
      <c r="U59" t="str">
        <f t="shared" si="1"/>
        <v>10000000000000000</v>
      </c>
      <c r="V59" t="str">
        <f>VLOOKUP(U59,Kategorie!B:C,2,FALSE)</f>
        <v>pdf</v>
      </c>
    </row>
    <row r="60" spans="1:22" x14ac:dyDescent="0.25">
      <c r="A60">
        <v>59</v>
      </c>
      <c r="B60" t="s">
        <v>2144</v>
      </c>
      <c r="C60" s="2">
        <f>IF(SUMPRODUCT(('alle Dateien'!B:B=Bohrungen!B60)*('alle Dateien'!D:D="pdf"))&gt;0,1,0)</f>
        <v>1</v>
      </c>
      <c r="D60">
        <f>IF(SUMPRODUCT(('alle Dateien'!B:B=Bohrungen!B60)*('alle Dateien'!D:D="tif"))&gt;0,1,0)</f>
        <v>0</v>
      </c>
      <c r="E60">
        <f>IF(SUMPRODUCT(('alle Dateien'!B:B=Bohrungen!B60)*('alle Dateien'!D:D="sdg"))&gt;0,1,0)</f>
        <v>1</v>
      </c>
      <c r="F60">
        <f>IF(SUMPRODUCT(('alle Dateien'!B:B=Bohrungen!B60)*('alle Dateien'!D:D="xlsx"))&gt;0,1,0)</f>
        <v>1</v>
      </c>
      <c r="G60">
        <f>IF(SUMPRODUCT(('alle Dateien'!B:B=Bohrungen!B60)*('alle Dateien'!D:D="docx"))&gt;0,1,0)</f>
        <v>0</v>
      </c>
      <c r="H60">
        <f>IF(SUMPRODUCT(('alle Dateien'!B:B=Bohrungen!B60)*('alle Dateien'!D:D="las"))&gt;0,1,0)</f>
        <v>1</v>
      </c>
      <c r="I60">
        <f>IF(SUMPRODUCT(('alle Dateien'!B:B=Bohrungen!B60)*('alle Dateien'!D:D="db"))&gt;0,1,0)</f>
        <v>0</v>
      </c>
      <c r="J60">
        <f>IF(SUMPRODUCT(('alle Dateien'!B:B=Bohrungen!B60)*('alle Dateien'!D:D="rhistory"))&gt;0,1,0)</f>
        <v>0</v>
      </c>
      <c r="K60">
        <f>IF(SUMPRODUCT(('alle Dateien'!B:B=Bohrungen!B60)*('alle Dateien'!D:D="mdb"))&gt;0,1,0)</f>
        <v>0</v>
      </c>
      <c r="L60">
        <f>IF(SUMPRODUCT(('alle Dateien'!B:B=Bohrungen!B60)*('alle Dateien'!D:D="xml"))&gt;0,1,0)</f>
        <v>0</v>
      </c>
      <c r="M60">
        <f>IF(SUMPRODUCT(('alle Dateien'!B:B=Bohrungen!B60)*('alle Dateien'!D:D="jpg"))&gt;0,1,0)</f>
        <v>0</v>
      </c>
      <c r="N60">
        <f>IF(SUMPRODUCT(('alle Dateien'!B:B=Bohrungen!B60)*('alle Dateien'!D:D="png"))&gt;0,1,0)</f>
        <v>0</v>
      </c>
      <c r="O60">
        <f>IF(SUMPRODUCT(('alle Dateien'!B:B=Bohrungen!B60)*('alle Dateien'!D:D="xls"))&gt;0,1,0)</f>
        <v>0</v>
      </c>
      <c r="P60">
        <f>IF(SUMPRODUCT(('alle Dateien'!B:B=Bohrungen!B60)*('alle Dateien'!D:D="txt"))&gt;0,1,0)</f>
        <v>0</v>
      </c>
      <c r="Q60">
        <f>IF(SUMPRODUCT(('alle Dateien'!B:B=Bohrungen!B60)*('alle Dateien'!D:D="ZIP oder R"))&gt;0,1,0)</f>
        <v>0</v>
      </c>
      <c r="R60">
        <f>IF(SUMPRODUCT(('alle Dateien'!B:B=Bohrungen!B60)*('alle Dateien'!D:D="tsf"))&gt;0,1,0)</f>
        <v>0</v>
      </c>
      <c r="S60">
        <f>IF(SUMPRODUCT(('alle Dateien'!B:B=Bohrungen!B60)*('alle Dateien'!D:D="sch"))&gt;0,1,0)</f>
        <v>0</v>
      </c>
      <c r="U60" t="str">
        <f t="shared" si="1"/>
        <v>10110100000000000</v>
      </c>
      <c r="V60" t="str">
        <f>VLOOKUP(U60,Kategorie!B:C,2,FALSE)</f>
        <v>pdf/ sdg/ xlsx/ las</v>
      </c>
    </row>
    <row r="61" spans="1:22" x14ac:dyDescent="0.25">
      <c r="A61">
        <v>60</v>
      </c>
      <c r="B61" t="s">
        <v>2145</v>
      </c>
      <c r="C61" s="2">
        <f>IF(SUMPRODUCT(('alle Dateien'!B:B=Bohrungen!B61)*('alle Dateien'!D:D="pdf"))&gt;0,1,0)</f>
        <v>1</v>
      </c>
      <c r="D61">
        <f>IF(SUMPRODUCT(('alle Dateien'!B:B=Bohrungen!B61)*('alle Dateien'!D:D="tif"))&gt;0,1,0)</f>
        <v>0</v>
      </c>
      <c r="E61">
        <f>IF(SUMPRODUCT(('alle Dateien'!B:B=Bohrungen!B61)*('alle Dateien'!D:D="sdg"))&gt;0,1,0)</f>
        <v>0</v>
      </c>
      <c r="F61">
        <f>IF(SUMPRODUCT(('alle Dateien'!B:B=Bohrungen!B61)*('alle Dateien'!D:D="xlsx"))&gt;0,1,0)</f>
        <v>0</v>
      </c>
      <c r="G61">
        <f>IF(SUMPRODUCT(('alle Dateien'!B:B=Bohrungen!B61)*('alle Dateien'!D:D="docx"))&gt;0,1,0)</f>
        <v>0</v>
      </c>
      <c r="H61">
        <f>IF(SUMPRODUCT(('alle Dateien'!B:B=Bohrungen!B61)*('alle Dateien'!D:D="las"))&gt;0,1,0)</f>
        <v>0</v>
      </c>
      <c r="I61">
        <f>IF(SUMPRODUCT(('alle Dateien'!B:B=Bohrungen!B61)*('alle Dateien'!D:D="db"))&gt;0,1,0)</f>
        <v>0</v>
      </c>
      <c r="J61">
        <f>IF(SUMPRODUCT(('alle Dateien'!B:B=Bohrungen!B61)*('alle Dateien'!D:D="rhistory"))&gt;0,1,0)</f>
        <v>0</v>
      </c>
      <c r="K61">
        <f>IF(SUMPRODUCT(('alle Dateien'!B:B=Bohrungen!B61)*('alle Dateien'!D:D="mdb"))&gt;0,1,0)</f>
        <v>0</v>
      </c>
      <c r="L61">
        <f>IF(SUMPRODUCT(('alle Dateien'!B:B=Bohrungen!B61)*('alle Dateien'!D:D="xml"))&gt;0,1,0)</f>
        <v>0</v>
      </c>
      <c r="M61">
        <f>IF(SUMPRODUCT(('alle Dateien'!B:B=Bohrungen!B61)*('alle Dateien'!D:D="jpg"))&gt;0,1,0)</f>
        <v>0</v>
      </c>
      <c r="N61">
        <f>IF(SUMPRODUCT(('alle Dateien'!B:B=Bohrungen!B61)*('alle Dateien'!D:D="png"))&gt;0,1,0)</f>
        <v>0</v>
      </c>
      <c r="O61">
        <f>IF(SUMPRODUCT(('alle Dateien'!B:B=Bohrungen!B61)*('alle Dateien'!D:D="xls"))&gt;0,1,0)</f>
        <v>0</v>
      </c>
      <c r="P61">
        <f>IF(SUMPRODUCT(('alle Dateien'!B:B=Bohrungen!B61)*('alle Dateien'!D:D="txt"))&gt;0,1,0)</f>
        <v>0</v>
      </c>
      <c r="Q61">
        <f>IF(SUMPRODUCT(('alle Dateien'!B:B=Bohrungen!B61)*('alle Dateien'!D:D="ZIP oder R"))&gt;0,1,0)</f>
        <v>0</v>
      </c>
      <c r="R61">
        <f>IF(SUMPRODUCT(('alle Dateien'!B:B=Bohrungen!B61)*('alle Dateien'!D:D="tsf"))&gt;0,1,0)</f>
        <v>0</v>
      </c>
      <c r="S61">
        <f>IF(SUMPRODUCT(('alle Dateien'!B:B=Bohrungen!B61)*('alle Dateien'!D:D="sch"))&gt;0,1,0)</f>
        <v>0</v>
      </c>
      <c r="U61" t="str">
        <f t="shared" si="1"/>
        <v>10000000000000000</v>
      </c>
      <c r="V61" t="str">
        <f>VLOOKUP(U61,Kategorie!B:C,2,FALSE)</f>
        <v>pdf</v>
      </c>
    </row>
    <row r="62" spans="1:22" x14ac:dyDescent="0.25">
      <c r="A62">
        <v>61</v>
      </c>
      <c r="B62" t="s">
        <v>2146</v>
      </c>
      <c r="C62" s="2">
        <f>IF(SUMPRODUCT(('alle Dateien'!B:B=Bohrungen!B62)*('alle Dateien'!D:D="pdf"))&gt;0,1,0)</f>
        <v>1</v>
      </c>
      <c r="D62">
        <f>IF(SUMPRODUCT(('alle Dateien'!B:B=Bohrungen!B62)*('alle Dateien'!D:D="tif"))&gt;0,1,0)</f>
        <v>0</v>
      </c>
      <c r="E62">
        <f>IF(SUMPRODUCT(('alle Dateien'!B:B=Bohrungen!B62)*('alle Dateien'!D:D="sdg"))&gt;0,1,0)</f>
        <v>0</v>
      </c>
      <c r="F62">
        <f>IF(SUMPRODUCT(('alle Dateien'!B:B=Bohrungen!B62)*('alle Dateien'!D:D="xlsx"))&gt;0,1,0)</f>
        <v>0</v>
      </c>
      <c r="G62">
        <f>IF(SUMPRODUCT(('alle Dateien'!B:B=Bohrungen!B62)*('alle Dateien'!D:D="docx"))&gt;0,1,0)</f>
        <v>0</v>
      </c>
      <c r="H62">
        <f>IF(SUMPRODUCT(('alle Dateien'!B:B=Bohrungen!B62)*('alle Dateien'!D:D="las"))&gt;0,1,0)</f>
        <v>0</v>
      </c>
      <c r="I62">
        <f>IF(SUMPRODUCT(('alle Dateien'!B:B=Bohrungen!B62)*('alle Dateien'!D:D="db"))&gt;0,1,0)</f>
        <v>0</v>
      </c>
      <c r="J62">
        <f>IF(SUMPRODUCT(('alle Dateien'!B:B=Bohrungen!B62)*('alle Dateien'!D:D="rhistory"))&gt;0,1,0)</f>
        <v>0</v>
      </c>
      <c r="K62">
        <f>IF(SUMPRODUCT(('alle Dateien'!B:B=Bohrungen!B62)*('alle Dateien'!D:D="mdb"))&gt;0,1,0)</f>
        <v>0</v>
      </c>
      <c r="L62">
        <f>IF(SUMPRODUCT(('alle Dateien'!B:B=Bohrungen!B62)*('alle Dateien'!D:D="xml"))&gt;0,1,0)</f>
        <v>0</v>
      </c>
      <c r="M62">
        <f>IF(SUMPRODUCT(('alle Dateien'!B:B=Bohrungen!B62)*('alle Dateien'!D:D="jpg"))&gt;0,1,0)</f>
        <v>0</v>
      </c>
      <c r="N62">
        <f>IF(SUMPRODUCT(('alle Dateien'!B:B=Bohrungen!B62)*('alle Dateien'!D:D="png"))&gt;0,1,0)</f>
        <v>0</v>
      </c>
      <c r="O62">
        <f>IF(SUMPRODUCT(('alle Dateien'!B:B=Bohrungen!B62)*('alle Dateien'!D:D="xls"))&gt;0,1,0)</f>
        <v>0</v>
      </c>
      <c r="P62">
        <f>IF(SUMPRODUCT(('alle Dateien'!B:B=Bohrungen!B62)*('alle Dateien'!D:D="txt"))&gt;0,1,0)</f>
        <v>0</v>
      </c>
      <c r="Q62">
        <f>IF(SUMPRODUCT(('alle Dateien'!B:B=Bohrungen!B62)*('alle Dateien'!D:D="ZIP oder R"))&gt;0,1,0)</f>
        <v>0</v>
      </c>
      <c r="R62">
        <f>IF(SUMPRODUCT(('alle Dateien'!B:B=Bohrungen!B62)*('alle Dateien'!D:D="tsf"))&gt;0,1,0)</f>
        <v>0</v>
      </c>
      <c r="S62">
        <f>IF(SUMPRODUCT(('alle Dateien'!B:B=Bohrungen!B62)*('alle Dateien'!D:D="sch"))&gt;0,1,0)</f>
        <v>0</v>
      </c>
      <c r="U62" t="str">
        <f t="shared" si="1"/>
        <v>10000000000000000</v>
      </c>
      <c r="V62" t="str">
        <f>VLOOKUP(U62,Kategorie!B:C,2,FALSE)</f>
        <v>pdf</v>
      </c>
    </row>
    <row r="63" spans="1:22" x14ac:dyDescent="0.25">
      <c r="A63">
        <v>62</v>
      </c>
      <c r="B63" t="s">
        <v>2147</v>
      </c>
      <c r="C63" s="2">
        <f>IF(SUMPRODUCT(('alle Dateien'!B:B=Bohrungen!B63)*('alle Dateien'!D:D="pdf"))&gt;0,1,0)</f>
        <v>1</v>
      </c>
      <c r="D63">
        <f>IF(SUMPRODUCT(('alle Dateien'!B:B=Bohrungen!B63)*('alle Dateien'!D:D="tif"))&gt;0,1,0)</f>
        <v>1</v>
      </c>
      <c r="E63">
        <f>IF(SUMPRODUCT(('alle Dateien'!B:B=Bohrungen!B63)*('alle Dateien'!D:D="sdg"))&gt;0,1,0)</f>
        <v>0</v>
      </c>
      <c r="F63">
        <f>IF(SUMPRODUCT(('alle Dateien'!B:B=Bohrungen!B63)*('alle Dateien'!D:D="xlsx"))&gt;0,1,0)</f>
        <v>0</v>
      </c>
      <c r="G63">
        <f>IF(SUMPRODUCT(('alle Dateien'!B:B=Bohrungen!B63)*('alle Dateien'!D:D="docx"))&gt;0,1,0)</f>
        <v>0</v>
      </c>
      <c r="H63">
        <f>IF(SUMPRODUCT(('alle Dateien'!B:B=Bohrungen!B63)*('alle Dateien'!D:D="las"))&gt;0,1,0)</f>
        <v>0</v>
      </c>
      <c r="I63">
        <f>IF(SUMPRODUCT(('alle Dateien'!B:B=Bohrungen!B63)*('alle Dateien'!D:D="db"))&gt;0,1,0)</f>
        <v>0</v>
      </c>
      <c r="J63">
        <f>IF(SUMPRODUCT(('alle Dateien'!B:B=Bohrungen!B63)*('alle Dateien'!D:D="rhistory"))&gt;0,1,0)</f>
        <v>0</v>
      </c>
      <c r="K63">
        <f>IF(SUMPRODUCT(('alle Dateien'!B:B=Bohrungen!B63)*('alle Dateien'!D:D="mdb"))&gt;0,1,0)</f>
        <v>0</v>
      </c>
      <c r="L63">
        <f>IF(SUMPRODUCT(('alle Dateien'!B:B=Bohrungen!B63)*('alle Dateien'!D:D="xml"))&gt;0,1,0)</f>
        <v>0</v>
      </c>
      <c r="M63">
        <f>IF(SUMPRODUCT(('alle Dateien'!B:B=Bohrungen!B63)*('alle Dateien'!D:D="jpg"))&gt;0,1,0)</f>
        <v>0</v>
      </c>
      <c r="N63">
        <f>IF(SUMPRODUCT(('alle Dateien'!B:B=Bohrungen!B63)*('alle Dateien'!D:D="png"))&gt;0,1,0)</f>
        <v>0</v>
      </c>
      <c r="O63">
        <f>IF(SUMPRODUCT(('alle Dateien'!B:B=Bohrungen!B63)*('alle Dateien'!D:D="xls"))&gt;0,1,0)</f>
        <v>0</v>
      </c>
      <c r="P63">
        <f>IF(SUMPRODUCT(('alle Dateien'!B:B=Bohrungen!B63)*('alle Dateien'!D:D="txt"))&gt;0,1,0)</f>
        <v>0</v>
      </c>
      <c r="Q63">
        <f>IF(SUMPRODUCT(('alle Dateien'!B:B=Bohrungen!B63)*('alle Dateien'!D:D="ZIP oder R"))&gt;0,1,0)</f>
        <v>0</v>
      </c>
      <c r="R63">
        <f>IF(SUMPRODUCT(('alle Dateien'!B:B=Bohrungen!B63)*('alle Dateien'!D:D="tsf"))&gt;0,1,0)</f>
        <v>0</v>
      </c>
      <c r="S63">
        <f>IF(SUMPRODUCT(('alle Dateien'!B:B=Bohrungen!B63)*('alle Dateien'!D:D="sch"))&gt;0,1,0)</f>
        <v>0</v>
      </c>
      <c r="U63" t="str">
        <f t="shared" si="1"/>
        <v>11000000000000000</v>
      </c>
      <c r="V63" t="str">
        <f>VLOOKUP(U63,Kategorie!B:C,2,FALSE)</f>
        <v>pdf/ tif</v>
      </c>
    </row>
    <row r="64" spans="1:22" x14ac:dyDescent="0.25">
      <c r="A64">
        <v>63</v>
      </c>
      <c r="B64" t="s">
        <v>2148</v>
      </c>
      <c r="C64" s="2">
        <f>IF(SUMPRODUCT(('alle Dateien'!B:B=Bohrungen!B64)*('alle Dateien'!D:D="pdf"))&gt;0,1,0)</f>
        <v>1</v>
      </c>
      <c r="D64">
        <f>IF(SUMPRODUCT(('alle Dateien'!B:B=Bohrungen!B64)*('alle Dateien'!D:D="tif"))&gt;0,1,0)</f>
        <v>0</v>
      </c>
      <c r="E64">
        <f>IF(SUMPRODUCT(('alle Dateien'!B:B=Bohrungen!B64)*('alle Dateien'!D:D="sdg"))&gt;0,1,0)</f>
        <v>0</v>
      </c>
      <c r="F64">
        <f>IF(SUMPRODUCT(('alle Dateien'!B:B=Bohrungen!B64)*('alle Dateien'!D:D="xlsx"))&gt;0,1,0)</f>
        <v>0</v>
      </c>
      <c r="G64">
        <f>IF(SUMPRODUCT(('alle Dateien'!B:B=Bohrungen!B64)*('alle Dateien'!D:D="docx"))&gt;0,1,0)</f>
        <v>0</v>
      </c>
      <c r="H64">
        <f>IF(SUMPRODUCT(('alle Dateien'!B:B=Bohrungen!B64)*('alle Dateien'!D:D="las"))&gt;0,1,0)</f>
        <v>0</v>
      </c>
      <c r="I64">
        <f>IF(SUMPRODUCT(('alle Dateien'!B:B=Bohrungen!B64)*('alle Dateien'!D:D="db"))&gt;0,1,0)</f>
        <v>0</v>
      </c>
      <c r="J64">
        <f>IF(SUMPRODUCT(('alle Dateien'!B:B=Bohrungen!B64)*('alle Dateien'!D:D="rhistory"))&gt;0,1,0)</f>
        <v>0</v>
      </c>
      <c r="K64">
        <f>IF(SUMPRODUCT(('alle Dateien'!B:B=Bohrungen!B64)*('alle Dateien'!D:D="mdb"))&gt;0,1,0)</f>
        <v>0</v>
      </c>
      <c r="L64">
        <f>IF(SUMPRODUCT(('alle Dateien'!B:B=Bohrungen!B64)*('alle Dateien'!D:D="xml"))&gt;0,1,0)</f>
        <v>0</v>
      </c>
      <c r="M64">
        <f>IF(SUMPRODUCT(('alle Dateien'!B:B=Bohrungen!B64)*('alle Dateien'!D:D="jpg"))&gt;0,1,0)</f>
        <v>0</v>
      </c>
      <c r="N64">
        <f>IF(SUMPRODUCT(('alle Dateien'!B:B=Bohrungen!B64)*('alle Dateien'!D:D="png"))&gt;0,1,0)</f>
        <v>0</v>
      </c>
      <c r="O64">
        <f>IF(SUMPRODUCT(('alle Dateien'!B:B=Bohrungen!B64)*('alle Dateien'!D:D="xls"))&gt;0,1,0)</f>
        <v>0</v>
      </c>
      <c r="P64">
        <f>IF(SUMPRODUCT(('alle Dateien'!B:B=Bohrungen!B64)*('alle Dateien'!D:D="txt"))&gt;0,1,0)</f>
        <v>0</v>
      </c>
      <c r="Q64">
        <f>IF(SUMPRODUCT(('alle Dateien'!B:B=Bohrungen!B64)*('alle Dateien'!D:D="ZIP oder R"))&gt;0,1,0)</f>
        <v>0</v>
      </c>
      <c r="R64">
        <f>IF(SUMPRODUCT(('alle Dateien'!B:B=Bohrungen!B64)*('alle Dateien'!D:D="tsf"))&gt;0,1,0)</f>
        <v>0</v>
      </c>
      <c r="S64">
        <f>IF(SUMPRODUCT(('alle Dateien'!B:B=Bohrungen!B64)*('alle Dateien'!D:D="sch"))&gt;0,1,0)</f>
        <v>0</v>
      </c>
      <c r="U64" t="str">
        <f t="shared" si="1"/>
        <v>10000000000000000</v>
      </c>
      <c r="V64" t="str">
        <f>VLOOKUP(U64,Kategorie!B:C,2,FALSE)</f>
        <v>pdf</v>
      </c>
    </row>
    <row r="65" spans="1:22" x14ac:dyDescent="0.25">
      <c r="A65">
        <v>64</v>
      </c>
      <c r="B65" t="s">
        <v>2149</v>
      </c>
      <c r="C65" s="2">
        <f>IF(SUMPRODUCT(('alle Dateien'!B:B=Bohrungen!B65)*('alle Dateien'!D:D="pdf"))&gt;0,1,0)</f>
        <v>0</v>
      </c>
      <c r="D65">
        <f>IF(SUMPRODUCT(('alle Dateien'!B:B=Bohrungen!B65)*('alle Dateien'!D:D="tif"))&gt;0,1,0)</f>
        <v>0</v>
      </c>
      <c r="E65">
        <f>IF(SUMPRODUCT(('alle Dateien'!B:B=Bohrungen!B65)*('alle Dateien'!D:D="sdg"))&gt;0,1,0)</f>
        <v>1</v>
      </c>
      <c r="F65">
        <f>IF(SUMPRODUCT(('alle Dateien'!B:B=Bohrungen!B65)*('alle Dateien'!D:D="xlsx"))&gt;0,1,0)</f>
        <v>1</v>
      </c>
      <c r="G65">
        <f>IF(SUMPRODUCT(('alle Dateien'!B:B=Bohrungen!B65)*('alle Dateien'!D:D="docx"))&gt;0,1,0)</f>
        <v>0</v>
      </c>
      <c r="H65">
        <f>IF(SUMPRODUCT(('alle Dateien'!B:B=Bohrungen!B65)*('alle Dateien'!D:D="las"))&gt;0,1,0)</f>
        <v>1</v>
      </c>
      <c r="I65">
        <f>IF(SUMPRODUCT(('alle Dateien'!B:B=Bohrungen!B65)*('alle Dateien'!D:D="db"))&gt;0,1,0)</f>
        <v>0</v>
      </c>
      <c r="J65">
        <f>IF(SUMPRODUCT(('alle Dateien'!B:B=Bohrungen!B65)*('alle Dateien'!D:D="rhistory"))&gt;0,1,0)</f>
        <v>0</v>
      </c>
      <c r="K65">
        <f>IF(SUMPRODUCT(('alle Dateien'!B:B=Bohrungen!B65)*('alle Dateien'!D:D="mdb"))&gt;0,1,0)</f>
        <v>0</v>
      </c>
      <c r="L65">
        <f>IF(SUMPRODUCT(('alle Dateien'!B:B=Bohrungen!B65)*('alle Dateien'!D:D="xml"))&gt;0,1,0)</f>
        <v>0</v>
      </c>
      <c r="M65">
        <f>IF(SUMPRODUCT(('alle Dateien'!B:B=Bohrungen!B65)*('alle Dateien'!D:D="jpg"))&gt;0,1,0)</f>
        <v>0</v>
      </c>
      <c r="N65">
        <f>IF(SUMPRODUCT(('alle Dateien'!B:B=Bohrungen!B65)*('alle Dateien'!D:D="png"))&gt;0,1,0)</f>
        <v>0</v>
      </c>
      <c r="O65">
        <f>IF(SUMPRODUCT(('alle Dateien'!B:B=Bohrungen!B65)*('alle Dateien'!D:D="xls"))&gt;0,1,0)</f>
        <v>0</v>
      </c>
      <c r="P65">
        <f>IF(SUMPRODUCT(('alle Dateien'!B:B=Bohrungen!B65)*('alle Dateien'!D:D="txt"))&gt;0,1,0)</f>
        <v>0</v>
      </c>
      <c r="Q65">
        <f>IF(SUMPRODUCT(('alle Dateien'!B:B=Bohrungen!B65)*('alle Dateien'!D:D="ZIP oder R"))&gt;0,1,0)</f>
        <v>0</v>
      </c>
      <c r="R65">
        <f>IF(SUMPRODUCT(('alle Dateien'!B:B=Bohrungen!B65)*('alle Dateien'!D:D="tsf"))&gt;0,1,0)</f>
        <v>0</v>
      </c>
      <c r="S65">
        <f>IF(SUMPRODUCT(('alle Dateien'!B:B=Bohrungen!B65)*('alle Dateien'!D:D="sch"))&gt;0,1,0)</f>
        <v>0</v>
      </c>
      <c r="U65" t="str">
        <f t="shared" si="1"/>
        <v>00110100000000000</v>
      </c>
      <c r="V65" t="str">
        <f>VLOOKUP(U65,Kategorie!B:C,2,FALSE)</f>
        <v>sdg/ xlsx/ las</v>
      </c>
    </row>
    <row r="66" spans="1:22" x14ac:dyDescent="0.25">
      <c r="A66">
        <v>65</v>
      </c>
      <c r="B66" t="s">
        <v>2150</v>
      </c>
      <c r="C66" s="2">
        <f>IF(SUMPRODUCT(('alle Dateien'!B:B=Bohrungen!B66)*('alle Dateien'!D:D="pdf"))&gt;0,1,0)</f>
        <v>1</v>
      </c>
      <c r="D66">
        <f>IF(SUMPRODUCT(('alle Dateien'!B:B=Bohrungen!B66)*('alle Dateien'!D:D="tif"))&gt;0,1,0)</f>
        <v>0</v>
      </c>
      <c r="E66">
        <f>IF(SUMPRODUCT(('alle Dateien'!B:B=Bohrungen!B66)*('alle Dateien'!D:D="sdg"))&gt;0,1,0)</f>
        <v>0</v>
      </c>
      <c r="F66">
        <f>IF(SUMPRODUCT(('alle Dateien'!B:B=Bohrungen!B66)*('alle Dateien'!D:D="xlsx"))&gt;0,1,0)</f>
        <v>0</v>
      </c>
      <c r="G66">
        <f>IF(SUMPRODUCT(('alle Dateien'!B:B=Bohrungen!B66)*('alle Dateien'!D:D="docx"))&gt;0,1,0)</f>
        <v>0</v>
      </c>
      <c r="H66">
        <f>IF(SUMPRODUCT(('alle Dateien'!B:B=Bohrungen!B66)*('alle Dateien'!D:D="las"))&gt;0,1,0)</f>
        <v>0</v>
      </c>
      <c r="I66">
        <f>IF(SUMPRODUCT(('alle Dateien'!B:B=Bohrungen!B66)*('alle Dateien'!D:D="db"))&gt;0,1,0)</f>
        <v>0</v>
      </c>
      <c r="J66">
        <f>IF(SUMPRODUCT(('alle Dateien'!B:B=Bohrungen!B66)*('alle Dateien'!D:D="rhistory"))&gt;0,1,0)</f>
        <v>0</v>
      </c>
      <c r="K66">
        <f>IF(SUMPRODUCT(('alle Dateien'!B:B=Bohrungen!B66)*('alle Dateien'!D:D="mdb"))&gt;0,1,0)</f>
        <v>0</v>
      </c>
      <c r="L66">
        <f>IF(SUMPRODUCT(('alle Dateien'!B:B=Bohrungen!B66)*('alle Dateien'!D:D="xml"))&gt;0,1,0)</f>
        <v>0</v>
      </c>
      <c r="M66">
        <f>IF(SUMPRODUCT(('alle Dateien'!B:B=Bohrungen!B66)*('alle Dateien'!D:D="jpg"))&gt;0,1,0)</f>
        <v>0</v>
      </c>
      <c r="N66">
        <f>IF(SUMPRODUCT(('alle Dateien'!B:B=Bohrungen!B66)*('alle Dateien'!D:D="png"))&gt;0,1,0)</f>
        <v>0</v>
      </c>
      <c r="O66">
        <f>IF(SUMPRODUCT(('alle Dateien'!B:B=Bohrungen!B66)*('alle Dateien'!D:D="xls"))&gt;0,1,0)</f>
        <v>0</v>
      </c>
      <c r="P66">
        <f>IF(SUMPRODUCT(('alle Dateien'!B:B=Bohrungen!B66)*('alle Dateien'!D:D="txt"))&gt;0,1,0)</f>
        <v>0</v>
      </c>
      <c r="Q66">
        <f>IF(SUMPRODUCT(('alle Dateien'!B:B=Bohrungen!B66)*('alle Dateien'!D:D="ZIP oder R"))&gt;0,1,0)</f>
        <v>0</v>
      </c>
      <c r="R66">
        <f>IF(SUMPRODUCT(('alle Dateien'!B:B=Bohrungen!B66)*('alle Dateien'!D:D="tsf"))&gt;0,1,0)</f>
        <v>0</v>
      </c>
      <c r="S66">
        <f>IF(SUMPRODUCT(('alle Dateien'!B:B=Bohrungen!B66)*('alle Dateien'!D:D="sch"))&gt;0,1,0)</f>
        <v>0</v>
      </c>
      <c r="U66" t="str">
        <f t="shared" ref="U66:U97" si="2">CONCATENATE(C66,D66,E66,F66,G66,H66,I66,J66,K66,L66,M66,N66,O66,P66,Q66,R66,S66,)</f>
        <v>10000000000000000</v>
      </c>
      <c r="V66" t="str">
        <f>VLOOKUP(U66,Kategorie!B:C,2,FALSE)</f>
        <v>pdf</v>
      </c>
    </row>
    <row r="67" spans="1:22" x14ac:dyDescent="0.25">
      <c r="A67">
        <v>66</v>
      </c>
      <c r="B67" t="s">
        <v>2151</v>
      </c>
      <c r="C67" s="2">
        <f>IF(SUMPRODUCT(('alle Dateien'!B:B=Bohrungen!B67)*('alle Dateien'!D:D="pdf"))&gt;0,1,0)</f>
        <v>1</v>
      </c>
      <c r="D67">
        <f>IF(SUMPRODUCT(('alle Dateien'!B:B=Bohrungen!B67)*('alle Dateien'!D:D="tif"))&gt;0,1,0)</f>
        <v>0</v>
      </c>
      <c r="E67">
        <f>IF(SUMPRODUCT(('alle Dateien'!B:B=Bohrungen!B67)*('alle Dateien'!D:D="sdg"))&gt;0,1,0)</f>
        <v>0</v>
      </c>
      <c r="F67">
        <f>IF(SUMPRODUCT(('alle Dateien'!B:B=Bohrungen!B67)*('alle Dateien'!D:D="xlsx"))&gt;0,1,0)</f>
        <v>0</v>
      </c>
      <c r="G67">
        <f>IF(SUMPRODUCT(('alle Dateien'!B:B=Bohrungen!B67)*('alle Dateien'!D:D="docx"))&gt;0,1,0)</f>
        <v>0</v>
      </c>
      <c r="H67">
        <f>IF(SUMPRODUCT(('alle Dateien'!B:B=Bohrungen!B67)*('alle Dateien'!D:D="las"))&gt;0,1,0)</f>
        <v>0</v>
      </c>
      <c r="I67">
        <f>IF(SUMPRODUCT(('alle Dateien'!B:B=Bohrungen!B67)*('alle Dateien'!D:D="db"))&gt;0,1,0)</f>
        <v>0</v>
      </c>
      <c r="J67">
        <f>IF(SUMPRODUCT(('alle Dateien'!B:B=Bohrungen!B67)*('alle Dateien'!D:D="rhistory"))&gt;0,1,0)</f>
        <v>0</v>
      </c>
      <c r="K67">
        <f>IF(SUMPRODUCT(('alle Dateien'!B:B=Bohrungen!B67)*('alle Dateien'!D:D="mdb"))&gt;0,1,0)</f>
        <v>0</v>
      </c>
      <c r="L67">
        <f>IF(SUMPRODUCT(('alle Dateien'!B:B=Bohrungen!B67)*('alle Dateien'!D:D="xml"))&gt;0,1,0)</f>
        <v>0</v>
      </c>
      <c r="M67">
        <f>IF(SUMPRODUCT(('alle Dateien'!B:B=Bohrungen!B67)*('alle Dateien'!D:D="jpg"))&gt;0,1,0)</f>
        <v>1</v>
      </c>
      <c r="N67">
        <f>IF(SUMPRODUCT(('alle Dateien'!B:B=Bohrungen!B67)*('alle Dateien'!D:D="png"))&gt;0,1,0)</f>
        <v>0</v>
      </c>
      <c r="O67">
        <f>IF(SUMPRODUCT(('alle Dateien'!B:B=Bohrungen!B67)*('alle Dateien'!D:D="xls"))&gt;0,1,0)</f>
        <v>0</v>
      </c>
      <c r="P67">
        <f>IF(SUMPRODUCT(('alle Dateien'!B:B=Bohrungen!B67)*('alle Dateien'!D:D="txt"))&gt;0,1,0)</f>
        <v>0</v>
      </c>
      <c r="Q67">
        <f>IF(SUMPRODUCT(('alle Dateien'!B:B=Bohrungen!B67)*('alle Dateien'!D:D="ZIP oder R"))&gt;0,1,0)</f>
        <v>0</v>
      </c>
      <c r="R67">
        <f>IF(SUMPRODUCT(('alle Dateien'!B:B=Bohrungen!B67)*('alle Dateien'!D:D="tsf"))&gt;0,1,0)</f>
        <v>0</v>
      </c>
      <c r="S67">
        <f>IF(SUMPRODUCT(('alle Dateien'!B:B=Bohrungen!B67)*('alle Dateien'!D:D="sch"))&gt;0,1,0)</f>
        <v>0</v>
      </c>
      <c r="U67" t="str">
        <f t="shared" si="2"/>
        <v>10000000001000000</v>
      </c>
      <c r="V67" t="str">
        <f>VLOOKUP(U67,Kategorie!B:C,2,FALSE)</f>
        <v>pdf/ jpg</v>
      </c>
    </row>
    <row r="68" spans="1:22" x14ac:dyDescent="0.25">
      <c r="A68">
        <v>67</v>
      </c>
      <c r="B68" t="s">
        <v>2152</v>
      </c>
      <c r="C68" s="2">
        <f>IF(SUMPRODUCT(('alle Dateien'!B:B=Bohrungen!B68)*('alle Dateien'!D:D="pdf"))&gt;0,1,0)</f>
        <v>0</v>
      </c>
      <c r="D68">
        <f>IF(SUMPRODUCT(('alle Dateien'!B:B=Bohrungen!B68)*('alle Dateien'!D:D="tif"))&gt;0,1,0)</f>
        <v>1</v>
      </c>
      <c r="E68">
        <f>IF(SUMPRODUCT(('alle Dateien'!B:B=Bohrungen!B68)*('alle Dateien'!D:D="sdg"))&gt;0,1,0)</f>
        <v>1</v>
      </c>
      <c r="F68">
        <f>IF(SUMPRODUCT(('alle Dateien'!B:B=Bohrungen!B68)*('alle Dateien'!D:D="xlsx"))&gt;0,1,0)</f>
        <v>1</v>
      </c>
      <c r="G68">
        <f>IF(SUMPRODUCT(('alle Dateien'!B:B=Bohrungen!B68)*('alle Dateien'!D:D="docx"))&gt;0,1,0)</f>
        <v>1</v>
      </c>
      <c r="H68">
        <f>IF(SUMPRODUCT(('alle Dateien'!B:B=Bohrungen!B68)*('alle Dateien'!D:D="las"))&gt;0,1,0)</f>
        <v>1</v>
      </c>
      <c r="I68">
        <f>IF(SUMPRODUCT(('alle Dateien'!B:B=Bohrungen!B68)*('alle Dateien'!D:D="db"))&gt;0,1,0)</f>
        <v>1</v>
      </c>
      <c r="J68">
        <f>IF(SUMPRODUCT(('alle Dateien'!B:B=Bohrungen!B68)*('alle Dateien'!D:D="rhistory"))&gt;0,1,0)</f>
        <v>0</v>
      </c>
      <c r="K68">
        <f>IF(SUMPRODUCT(('alle Dateien'!B:B=Bohrungen!B68)*('alle Dateien'!D:D="mdb"))&gt;0,1,0)</f>
        <v>0</v>
      </c>
      <c r="L68">
        <f>IF(SUMPRODUCT(('alle Dateien'!B:B=Bohrungen!B68)*('alle Dateien'!D:D="xml"))&gt;0,1,0)</f>
        <v>0</v>
      </c>
      <c r="M68">
        <f>IF(SUMPRODUCT(('alle Dateien'!B:B=Bohrungen!B68)*('alle Dateien'!D:D="jpg"))&gt;0,1,0)</f>
        <v>0</v>
      </c>
      <c r="N68">
        <f>IF(SUMPRODUCT(('alle Dateien'!B:B=Bohrungen!B68)*('alle Dateien'!D:D="png"))&gt;0,1,0)</f>
        <v>0</v>
      </c>
      <c r="O68">
        <f>IF(SUMPRODUCT(('alle Dateien'!B:B=Bohrungen!B68)*('alle Dateien'!D:D="xls"))&gt;0,1,0)</f>
        <v>0</v>
      </c>
      <c r="P68">
        <f>IF(SUMPRODUCT(('alle Dateien'!B:B=Bohrungen!B68)*('alle Dateien'!D:D="txt"))&gt;0,1,0)</f>
        <v>0</v>
      </c>
      <c r="Q68">
        <f>IF(SUMPRODUCT(('alle Dateien'!B:B=Bohrungen!B68)*('alle Dateien'!D:D="ZIP oder R"))&gt;0,1,0)</f>
        <v>0</v>
      </c>
      <c r="R68">
        <f>IF(SUMPRODUCT(('alle Dateien'!B:B=Bohrungen!B68)*('alle Dateien'!D:D="tsf"))&gt;0,1,0)</f>
        <v>0</v>
      </c>
      <c r="S68">
        <f>IF(SUMPRODUCT(('alle Dateien'!B:B=Bohrungen!B68)*('alle Dateien'!D:D="sch"))&gt;0,1,0)</f>
        <v>0</v>
      </c>
      <c r="U68" t="str">
        <f t="shared" si="2"/>
        <v>01111110000000000</v>
      </c>
      <c r="V68" t="str">
        <f>VLOOKUP(U68,Kategorie!B:C,2,FALSE)</f>
        <v>tif/ sdg/ xlsx/ docx/ las/ db</v>
      </c>
    </row>
    <row r="69" spans="1:22" x14ac:dyDescent="0.25">
      <c r="A69">
        <v>68</v>
      </c>
      <c r="B69" t="s">
        <v>2153</v>
      </c>
      <c r="C69" s="2">
        <f>IF(SUMPRODUCT(('alle Dateien'!B:B=Bohrungen!B69)*('alle Dateien'!D:D="pdf"))&gt;0,1,0)</f>
        <v>1</v>
      </c>
      <c r="D69">
        <f>IF(SUMPRODUCT(('alle Dateien'!B:B=Bohrungen!B69)*('alle Dateien'!D:D="tif"))&gt;0,1,0)</f>
        <v>0</v>
      </c>
      <c r="E69">
        <f>IF(SUMPRODUCT(('alle Dateien'!B:B=Bohrungen!B69)*('alle Dateien'!D:D="sdg"))&gt;0,1,0)</f>
        <v>1</v>
      </c>
      <c r="F69">
        <f>IF(SUMPRODUCT(('alle Dateien'!B:B=Bohrungen!B69)*('alle Dateien'!D:D="xlsx"))&gt;0,1,0)</f>
        <v>1</v>
      </c>
      <c r="G69">
        <f>IF(SUMPRODUCT(('alle Dateien'!B:B=Bohrungen!B69)*('alle Dateien'!D:D="docx"))&gt;0,1,0)</f>
        <v>0</v>
      </c>
      <c r="H69">
        <f>IF(SUMPRODUCT(('alle Dateien'!B:B=Bohrungen!B69)*('alle Dateien'!D:D="las"))&gt;0,1,0)</f>
        <v>1</v>
      </c>
      <c r="I69">
        <f>IF(SUMPRODUCT(('alle Dateien'!B:B=Bohrungen!B69)*('alle Dateien'!D:D="db"))&gt;0,1,0)</f>
        <v>0</v>
      </c>
      <c r="J69">
        <f>IF(SUMPRODUCT(('alle Dateien'!B:B=Bohrungen!B69)*('alle Dateien'!D:D="rhistory"))&gt;0,1,0)</f>
        <v>0</v>
      </c>
      <c r="K69">
        <f>IF(SUMPRODUCT(('alle Dateien'!B:B=Bohrungen!B69)*('alle Dateien'!D:D="mdb"))&gt;0,1,0)</f>
        <v>0</v>
      </c>
      <c r="L69">
        <f>IF(SUMPRODUCT(('alle Dateien'!B:B=Bohrungen!B69)*('alle Dateien'!D:D="xml"))&gt;0,1,0)</f>
        <v>0</v>
      </c>
      <c r="M69">
        <f>IF(SUMPRODUCT(('alle Dateien'!B:B=Bohrungen!B69)*('alle Dateien'!D:D="jpg"))&gt;0,1,0)</f>
        <v>0</v>
      </c>
      <c r="N69">
        <f>IF(SUMPRODUCT(('alle Dateien'!B:B=Bohrungen!B69)*('alle Dateien'!D:D="png"))&gt;0,1,0)</f>
        <v>0</v>
      </c>
      <c r="O69">
        <f>IF(SUMPRODUCT(('alle Dateien'!B:B=Bohrungen!B69)*('alle Dateien'!D:D="xls"))&gt;0,1,0)</f>
        <v>0</v>
      </c>
      <c r="P69">
        <f>IF(SUMPRODUCT(('alle Dateien'!B:B=Bohrungen!B69)*('alle Dateien'!D:D="txt"))&gt;0,1,0)</f>
        <v>0</v>
      </c>
      <c r="Q69">
        <f>IF(SUMPRODUCT(('alle Dateien'!B:B=Bohrungen!B69)*('alle Dateien'!D:D="ZIP oder R"))&gt;0,1,0)</f>
        <v>0</v>
      </c>
      <c r="R69">
        <f>IF(SUMPRODUCT(('alle Dateien'!B:B=Bohrungen!B69)*('alle Dateien'!D:D="tsf"))&gt;0,1,0)</f>
        <v>0</v>
      </c>
      <c r="S69">
        <f>IF(SUMPRODUCT(('alle Dateien'!B:B=Bohrungen!B69)*('alle Dateien'!D:D="sch"))&gt;0,1,0)</f>
        <v>0</v>
      </c>
      <c r="U69" t="str">
        <f t="shared" si="2"/>
        <v>10110100000000000</v>
      </c>
      <c r="V69" t="str">
        <f>VLOOKUP(U69,Kategorie!B:C,2,FALSE)</f>
        <v>pdf/ sdg/ xlsx/ las</v>
      </c>
    </row>
    <row r="70" spans="1:22" x14ac:dyDescent="0.25">
      <c r="A70">
        <v>69</v>
      </c>
      <c r="B70" t="s">
        <v>2154</v>
      </c>
      <c r="C70" s="2">
        <f>IF(SUMPRODUCT(('alle Dateien'!B:B=Bohrungen!B70)*('alle Dateien'!D:D="pdf"))&gt;0,1,0)</f>
        <v>1</v>
      </c>
      <c r="D70">
        <f>IF(SUMPRODUCT(('alle Dateien'!B:B=Bohrungen!B70)*('alle Dateien'!D:D="tif"))&gt;0,1,0)</f>
        <v>0</v>
      </c>
      <c r="E70">
        <f>IF(SUMPRODUCT(('alle Dateien'!B:B=Bohrungen!B70)*('alle Dateien'!D:D="sdg"))&gt;0,1,0)</f>
        <v>1</v>
      </c>
      <c r="F70">
        <f>IF(SUMPRODUCT(('alle Dateien'!B:B=Bohrungen!B70)*('alle Dateien'!D:D="xlsx"))&gt;0,1,0)</f>
        <v>1</v>
      </c>
      <c r="G70">
        <f>IF(SUMPRODUCT(('alle Dateien'!B:B=Bohrungen!B70)*('alle Dateien'!D:D="docx"))&gt;0,1,0)</f>
        <v>0</v>
      </c>
      <c r="H70">
        <f>IF(SUMPRODUCT(('alle Dateien'!B:B=Bohrungen!B70)*('alle Dateien'!D:D="las"))&gt;0,1,0)</f>
        <v>1</v>
      </c>
      <c r="I70">
        <f>IF(SUMPRODUCT(('alle Dateien'!B:B=Bohrungen!B70)*('alle Dateien'!D:D="db"))&gt;0,1,0)</f>
        <v>0</v>
      </c>
      <c r="J70">
        <f>IF(SUMPRODUCT(('alle Dateien'!B:B=Bohrungen!B70)*('alle Dateien'!D:D="rhistory"))&gt;0,1,0)</f>
        <v>0</v>
      </c>
      <c r="K70">
        <f>IF(SUMPRODUCT(('alle Dateien'!B:B=Bohrungen!B70)*('alle Dateien'!D:D="mdb"))&gt;0,1,0)</f>
        <v>0</v>
      </c>
      <c r="L70">
        <f>IF(SUMPRODUCT(('alle Dateien'!B:B=Bohrungen!B70)*('alle Dateien'!D:D="xml"))&gt;0,1,0)</f>
        <v>0</v>
      </c>
      <c r="M70">
        <f>IF(SUMPRODUCT(('alle Dateien'!B:B=Bohrungen!B70)*('alle Dateien'!D:D="jpg"))&gt;0,1,0)</f>
        <v>0</v>
      </c>
      <c r="N70">
        <f>IF(SUMPRODUCT(('alle Dateien'!B:B=Bohrungen!B70)*('alle Dateien'!D:D="png"))&gt;0,1,0)</f>
        <v>0</v>
      </c>
      <c r="O70">
        <f>IF(SUMPRODUCT(('alle Dateien'!B:B=Bohrungen!B70)*('alle Dateien'!D:D="xls"))&gt;0,1,0)</f>
        <v>0</v>
      </c>
      <c r="P70">
        <f>IF(SUMPRODUCT(('alle Dateien'!B:B=Bohrungen!B70)*('alle Dateien'!D:D="txt"))&gt;0,1,0)</f>
        <v>0</v>
      </c>
      <c r="Q70">
        <f>IF(SUMPRODUCT(('alle Dateien'!B:B=Bohrungen!B70)*('alle Dateien'!D:D="ZIP oder R"))&gt;0,1,0)</f>
        <v>0</v>
      </c>
      <c r="R70">
        <f>IF(SUMPRODUCT(('alle Dateien'!B:B=Bohrungen!B70)*('alle Dateien'!D:D="tsf"))&gt;0,1,0)</f>
        <v>0</v>
      </c>
      <c r="S70">
        <f>IF(SUMPRODUCT(('alle Dateien'!B:B=Bohrungen!B70)*('alle Dateien'!D:D="sch"))&gt;0,1,0)</f>
        <v>0</v>
      </c>
      <c r="U70" t="str">
        <f t="shared" si="2"/>
        <v>10110100000000000</v>
      </c>
      <c r="V70" t="str">
        <f>VLOOKUP(U70,Kategorie!B:C,2,FALSE)</f>
        <v>pdf/ sdg/ xlsx/ las</v>
      </c>
    </row>
    <row r="71" spans="1:22" x14ac:dyDescent="0.25">
      <c r="A71">
        <v>70</v>
      </c>
      <c r="B71" t="s">
        <v>2155</v>
      </c>
      <c r="C71" s="2">
        <f>IF(SUMPRODUCT(('alle Dateien'!B:B=Bohrungen!B71)*('alle Dateien'!D:D="pdf"))&gt;0,1,0)</f>
        <v>1</v>
      </c>
      <c r="D71">
        <f>IF(SUMPRODUCT(('alle Dateien'!B:B=Bohrungen!B71)*('alle Dateien'!D:D="tif"))&gt;0,1,0)</f>
        <v>0</v>
      </c>
      <c r="E71">
        <f>IF(SUMPRODUCT(('alle Dateien'!B:B=Bohrungen!B71)*('alle Dateien'!D:D="sdg"))&gt;0,1,0)</f>
        <v>0</v>
      </c>
      <c r="F71">
        <f>IF(SUMPRODUCT(('alle Dateien'!B:B=Bohrungen!B71)*('alle Dateien'!D:D="xlsx"))&gt;0,1,0)</f>
        <v>0</v>
      </c>
      <c r="G71">
        <f>IF(SUMPRODUCT(('alle Dateien'!B:B=Bohrungen!B71)*('alle Dateien'!D:D="docx"))&gt;0,1,0)</f>
        <v>0</v>
      </c>
      <c r="H71">
        <f>IF(SUMPRODUCT(('alle Dateien'!B:B=Bohrungen!B71)*('alle Dateien'!D:D="las"))&gt;0,1,0)</f>
        <v>0</v>
      </c>
      <c r="I71">
        <f>IF(SUMPRODUCT(('alle Dateien'!B:B=Bohrungen!B71)*('alle Dateien'!D:D="db"))&gt;0,1,0)</f>
        <v>0</v>
      </c>
      <c r="J71">
        <f>IF(SUMPRODUCT(('alle Dateien'!B:B=Bohrungen!B71)*('alle Dateien'!D:D="rhistory"))&gt;0,1,0)</f>
        <v>0</v>
      </c>
      <c r="K71">
        <f>IF(SUMPRODUCT(('alle Dateien'!B:B=Bohrungen!B71)*('alle Dateien'!D:D="mdb"))&gt;0,1,0)</f>
        <v>0</v>
      </c>
      <c r="L71">
        <f>IF(SUMPRODUCT(('alle Dateien'!B:B=Bohrungen!B71)*('alle Dateien'!D:D="xml"))&gt;0,1,0)</f>
        <v>0</v>
      </c>
      <c r="M71">
        <f>IF(SUMPRODUCT(('alle Dateien'!B:B=Bohrungen!B71)*('alle Dateien'!D:D="jpg"))&gt;0,1,0)</f>
        <v>0</v>
      </c>
      <c r="N71">
        <f>IF(SUMPRODUCT(('alle Dateien'!B:B=Bohrungen!B71)*('alle Dateien'!D:D="png"))&gt;0,1,0)</f>
        <v>0</v>
      </c>
      <c r="O71">
        <f>IF(SUMPRODUCT(('alle Dateien'!B:B=Bohrungen!B71)*('alle Dateien'!D:D="xls"))&gt;0,1,0)</f>
        <v>0</v>
      </c>
      <c r="P71">
        <f>IF(SUMPRODUCT(('alle Dateien'!B:B=Bohrungen!B71)*('alle Dateien'!D:D="txt"))&gt;0,1,0)</f>
        <v>0</v>
      </c>
      <c r="Q71">
        <f>IF(SUMPRODUCT(('alle Dateien'!B:B=Bohrungen!B71)*('alle Dateien'!D:D="ZIP oder R"))&gt;0,1,0)</f>
        <v>0</v>
      </c>
      <c r="R71">
        <f>IF(SUMPRODUCT(('alle Dateien'!B:B=Bohrungen!B71)*('alle Dateien'!D:D="tsf"))&gt;0,1,0)</f>
        <v>0</v>
      </c>
      <c r="S71">
        <f>IF(SUMPRODUCT(('alle Dateien'!B:B=Bohrungen!B71)*('alle Dateien'!D:D="sch"))&gt;0,1,0)</f>
        <v>0</v>
      </c>
      <c r="U71" t="str">
        <f t="shared" si="2"/>
        <v>10000000000000000</v>
      </c>
      <c r="V71" t="str">
        <f>VLOOKUP(U71,Kategorie!B:C,2,FALSE)</f>
        <v>pdf</v>
      </c>
    </row>
    <row r="72" spans="1:22" x14ac:dyDescent="0.25">
      <c r="A72">
        <v>71</v>
      </c>
      <c r="B72" t="s">
        <v>2156</v>
      </c>
      <c r="C72" s="2">
        <f>IF(SUMPRODUCT(('alle Dateien'!B:B=Bohrungen!B72)*('alle Dateien'!D:D="pdf"))&gt;0,1,0)</f>
        <v>1</v>
      </c>
      <c r="D72">
        <f>IF(SUMPRODUCT(('alle Dateien'!B:B=Bohrungen!B72)*('alle Dateien'!D:D="tif"))&gt;0,1,0)</f>
        <v>0</v>
      </c>
      <c r="E72">
        <f>IF(SUMPRODUCT(('alle Dateien'!B:B=Bohrungen!B72)*('alle Dateien'!D:D="sdg"))&gt;0,1,0)</f>
        <v>0</v>
      </c>
      <c r="F72">
        <f>IF(SUMPRODUCT(('alle Dateien'!B:B=Bohrungen!B72)*('alle Dateien'!D:D="xlsx"))&gt;0,1,0)</f>
        <v>0</v>
      </c>
      <c r="G72">
        <f>IF(SUMPRODUCT(('alle Dateien'!B:B=Bohrungen!B72)*('alle Dateien'!D:D="docx"))&gt;0,1,0)</f>
        <v>0</v>
      </c>
      <c r="H72">
        <f>IF(SUMPRODUCT(('alle Dateien'!B:B=Bohrungen!B72)*('alle Dateien'!D:D="las"))&gt;0,1,0)</f>
        <v>0</v>
      </c>
      <c r="I72">
        <f>IF(SUMPRODUCT(('alle Dateien'!B:B=Bohrungen!B72)*('alle Dateien'!D:D="db"))&gt;0,1,0)</f>
        <v>0</v>
      </c>
      <c r="J72">
        <f>IF(SUMPRODUCT(('alle Dateien'!B:B=Bohrungen!B72)*('alle Dateien'!D:D="rhistory"))&gt;0,1,0)</f>
        <v>0</v>
      </c>
      <c r="K72">
        <f>IF(SUMPRODUCT(('alle Dateien'!B:B=Bohrungen!B72)*('alle Dateien'!D:D="mdb"))&gt;0,1,0)</f>
        <v>0</v>
      </c>
      <c r="L72">
        <f>IF(SUMPRODUCT(('alle Dateien'!B:B=Bohrungen!B72)*('alle Dateien'!D:D="xml"))&gt;0,1,0)</f>
        <v>0</v>
      </c>
      <c r="M72">
        <f>IF(SUMPRODUCT(('alle Dateien'!B:B=Bohrungen!B72)*('alle Dateien'!D:D="jpg"))&gt;0,1,0)</f>
        <v>0</v>
      </c>
      <c r="N72">
        <f>IF(SUMPRODUCT(('alle Dateien'!B:B=Bohrungen!B72)*('alle Dateien'!D:D="png"))&gt;0,1,0)</f>
        <v>0</v>
      </c>
      <c r="O72">
        <f>IF(SUMPRODUCT(('alle Dateien'!B:B=Bohrungen!B72)*('alle Dateien'!D:D="xls"))&gt;0,1,0)</f>
        <v>0</v>
      </c>
      <c r="P72">
        <f>IF(SUMPRODUCT(('alle Dateien'!B:B=Bohrungen!B72)*('alle Dateien'!D:D="txt"))&gt;0,1,0)</f>
        <v>0</v>
      </c>
      <c r="Q72">
        <f>IF(SUMPRODUCT(('alle Dateien'!B:B=Bohrungen!B72)*('alle Dateien'!D:D="ZIP oder R"))&gt;0,1,0)</f>
        <v>0</v>
      </c>
      <c r="R72">
        <f>IF(SUMPRODUCT(('alle Dateien'!B:B=Bohrungen!B72)*('alle Dateien'!D:D="tsf"))&gt;0,1,0)</f>
        <v>0</v>
      </c>
      <c r="S72">
        <f>IF(SUMPRODUCT(('alle Dateien'!B:B=Bohrungen!B72)*('alle Dateien'!D:D="sch"))&gt;0,1,0)</f>
        <v>0</v>
      </c>
      <c r="U72" t="str">
        <f t="shared" si="2"/>
        <v>10000000000000000</v>
      </c>
      <c r="V72" t="str">
        <f>VLOOKUP(U72,Kategorie!B:C,2,FALSE)</f>
        <v>pdf</v>
      </c>
    </row>
    <row r="73" spans="1:22" x14ac:dyDescent="0.25">
      <c r="A73">
        <v>72</v>
      </c>
      <c r="B73" t="s">
        <v>2157</v>
      </c>
      <c r="C73" s="2">
        <f>IF(SUMPRODUCT(('alle Dateien'!B:B=Bohrungen!B73)*('alle Dateien'!D:D="pdf"))&gt;0,1,0)</f>
        <v>1</v>
      </c>
      <c r="D73">
        <f>IF(SUMPRODUCT(('alle Dateien'!B:B=Bohrungen!B73)*('alle Dateien'!D:D="tif"))&gt;0,1,0)</f>
        <v>0</v>
      </c>
      <c r="E73">
        <f>IF(SUMPRODUCT(('alle Dateien'!B:B=Bohrungen!B73)*('alle Dateien'!D:D="sdg"))&gt;0,1,0)</f>
        <v>0</v>
      </c>
      <c r="F73">
        <f>IF(SUMPRODUCT(('alle Dateien'!B:B=Bohrungen!B73)*('alle Dateien'!D:D="xlsx"))&gt;0,1,0)</f>
        <v>0</v>
      </c>
      <c r="G73">
        <f>IF(SUMPRODUCT(('alle Dateien'!B:B=Bohrungen!B73)*('alle Dateien'!D:D="docx"))&gt;0,1,0)</f>
        <v>0</v>
      </c>
      <c r="H73">
        <f>IF(SUMPRODUCT(('alle Dateien'!B:B=Bohrungen!B73)*('alle Dateien'!D:D="las"))&gt;0,1,0)</f>
        <v>0</v>
      </c>
      <c r="I73">
        <f>IF(SUMPRODUCT(('alle Dateien'!B:B=Bohrungen!B73)*('alle Dateien'!D:D="db"))&gt;0,1,0)</f>
        <v>0</v>
      </c>
      <c r="J73">
        <f>IF(SUMPRODUCT(('alle Dateien'!B:B=Bohrungen!B73)*('alle Dateien'!D:D="rhistory"))&gt;0,1,0)</f>
        <v>0</v>
      </c>
      <c r="K73">
        <f>IF(SUMPRODUCT(('alle Dateien'!B:B=Bohrungen!B73)*('alle Dateien'!D:D="mdb"))&gt;0,1,0)</f>
        <v>0</v>
      </c>
      <c r="L73">
        <f>IF(SUMPRODUCT(('alle Dateien'!B:B=Bohrungen!B73)*('alle Dateien'!D:D="xml"))&gt;0,1,0)</f>
        <v>0</v>
      </c>
      <c r="M73">
        <f>IF(SUMPRODUCT(('alle Dateien'!B:B=Bohrungen!B73)*('alle Dateien'!D:D="jpg"))&gt;0,1,0)</f>
        <v>0</v>
      </c>
      <c r="N73">
        <f>IF(SUMPRODUCT(('alle Dateien'!B:B=Bohrungen!B73)*('alle Dateien'!D:D="png"))&gt;0,1,0)</f>
        <v>0</v>
      </c>
      <c r="O73">
        <f>IF(SUMPRODUCT(('alle Dateien'!B:B=Bohrungen!B73)*('alle Dateien'!D:D="xls"))&gt;0,1,0)</f>
        <v>0</v>
      </c>
      <c r="P73">
        <f>IF(SUMPRODUCT(('alle Dateien'!B:B=Bohrungen!B73)*('alle Dateien'!D:D="txt"))&gt;0,1,0)</f>
        <v>0</v>
      </c>
      <c r="Q73">
        <f>IF(SUMPRODUCT(('alle Dateien'!B:B=Bohrungen!B73)*('alle Dateien'!D:D="ZIP oder R"))&gt;0,1,0)</f>
        <v>0</v>
      </c>
      <c r="R73">
        <f>IF(SUMPRODUCT(('alle Dateien'!B:B=Bohrungen!B73)*('alle Dateien'!D:D="tsf"))&gt;0,1,0)</f>
        <v>0</v>
      </c>
      <c r="S73">
        <f>IF(SUMPRODUCT(('alle Dateien'!B:B=Bohrungen!B73)*('alle Dateien'!D:D="sch"))&gt;0,1,0)</f>
        <v>0</v>
      </c>
      <c r="U73" t="str">
        <f t="shared" si="2"/>
        <v>10000000000000000</v>
      </c>
      <c r="V73" t="str">
        <f>VLOOKUP(U73,Kategorie!B:C,2,FALSE)</f>
        <v>pdf</v>
      </c>
    </row>
    <row r="74" spans="1:22" x14ac:dyDescent="0.25">
      <c r="A74">
        <v>73</v>
      </c>
      <c r="B74" t="s">
        <v>2158</v>
      </c>
      <c r="C74" s="2">
        <f>IF(SUMPRODUCT(('alle Dateien'!B:B=Bohrungen!B74)*('alle Dateien'!D:D="pdf"))&gt;0,1,0)</f>
        <v>1</v>
      </c>
      <c r="D74">
        <f>IF(SUMPRODUCT(('alle Dateien'!B:B=Bohrungen!B74)*('alle Dateien'!D:D="tif"))&gt;0,1,0)</f>
        <v>0</v>
      </c>
      <c r="E74">
        <f>IF(SUMPRODUCT(('alle Dateien'!B:B=Bohrungen!B74)*('alle Dateien'!D:D="sdg"))&gt;0,1,0)</f>
        <v>0</v>
      </c>
      <c r="F74">
        <f>IF(SUMPRODUCT(('alle Dateien'!B:B=Bohrungen!B74)*('alle Dateien'!D:D="xlsx"))&gt;0,1,0)</f>
        <v>0</v>
      </c>
      <c r="G74">
        <f>IF(SUMPRODUCT(('alle Dateien'!B:B=Bohrungen!B74)*('alle Dateien'!D:D="docx"))&gt;0,1,0)</f>
        <v>0</v>
      </c>
      <c r="H74">
        <f>IF(SUMPRODUCT(('alle Dateien'!B:B=Bohrungen!B74)*('alle Dateien'!D:D="las"))&gt;0,1,0)</f>
        <v>0</v>
      </c>
      <c r="I74">
        <f>IF(SUMPRODUCT(('alle Dateien'!B:B=Bohrungen!B74)*('alle Dateien'!D:D="db"))&gt;0,1,0)</f>
        <v>0</v>
      </c>
      <c r="J74">
        <f>IF(SUMPRODUCT(('alle Dateien'!B:B=Bohrungen!B74)*('alle Dateien'!D:D="rhistory"))&gt;0,1,0)</f>
        <v>0</v>
      </c>
      <c r="K74">
        <f>IF(SUMPRODUCT(('alle Dateien'!B:B=Bohrungen!B74)*('alle Dateien'!D:D="mdb"))&gt;0,1,0)</f>
        <v>0</v>
      </c>
      <c r="L74">
        <f>IF(SUMPRODUCT(('alle Dateien'!B:B=Bohrungen!B74)*('alle Dateien'!D:D="xml"))&gt;0,1,0)</f>
        <v>0</v>
      </c>
      <c r="M74">
        <f>IF(SUMPRODUCT(('alle Dateien'!B:B=Bohrungen!B74)*('alle Dateien'!D:D="jpg"))&gt;0,1,0)</f>
        <v>0</v>
      </c>
      <c r="N74">
        <f>IF(SUMPRODUCT(('alle Dateien'!B:B=Bohrungen!B74)*('alle Dateien'!D:D="png"))&gt;0,1,0)</f>
        <v>0</v>
      </c>
      <c r="O74">
        <f>IF(SUMPRODUCT(('alle Dateien'!B:B=Bohrungen!B74)*('alle Dateien'!D:D="xls"))&gt;0,1,0)</f>
        <v>0</v>
      </c>
      <c r="P74">
        <f>IF(SUMPRODUCT(('alle Dateien'!B:B=Bohrungen!B74)*('alle Dateien'!D:D="txt"))&gt;0,1,0)</f>
        <v>0</v>
      </c>
      <c r="Q74">
        <f>IF(SUMPRODUCT(('alle Dateien'!B:B=Bohrungen!B74)*('alle Dateien'!D:D="ZIP oder R"))&gt;0,1,0)</f>
        <v>0</v>
      </c>
      <c r="R74">
        <f>IF(SUMPRODUCT(('alle Dateien'!B:B=Bohrungen!B74)*('alle Dateien'!D:D="tsf"))&gt;0,1,0)</f>
        <v>0</v>
      </c>
      <c r="S74">
        <f>IF(SUMPRODUCT(('alle Dateien'!B:B=Bohrungen!B74)*('alle Dateien'!D:D="sch"))&gt;0,1,0)</f>
        <v>0</v>
      </c>
      <c r="U74" t="str">
        <f t="shared" si="2"/>
        <v>10000000000000000</v>
      </c>
      <c r="V74" t="str">
        <f>VLOOKUP(U74,Kategorie!B:C,2,FALSE)</f>
        <v>pdf</v>
      </c>
    </row>
    <row r="75" spans="1:22" x14ac:dyDescent="0.25">
      <c r="A75">
        <v>74</v>
      </c>
      <c r="B75" t="s">
        <v>2159</v>
      </c>
      <c r="C75" s="2">
        <f>IF(SUMPRODUCT(('alle Dateien'!B:B=Bohrungen!B75)*('alle Dateien'!D:D="pdf"))&gt;0,1,0)</f>
        <v>1</v>
      </c>
      <c r="D75">
        <f>IF(SUMPRODUCT(('alle Dateien'!B:B=Bohrungen!B75)*('alle Dateien'!D:D="tif"))&gt;0,1,0)</f>
        <v>0</v>
      </c>
      <c r="E75">
        <f>IF(SUMPRODUCT(('alle Dateien'!B:B=Bohrungen!B75)*('alle Dateien'!D:D="sdg"))&gt;0,1,0)</f>
        <v>1</v>
      </c>
      <c r="F75">
        <f>IF(SUMPRODUCT(('alle Dateien'!B:B=Bohrungen!B75)*('alle Dateien'!D:D="xlsx"))&gt;0,1,0)</f>
        <v>1</v>
      </c>
      <c r="G75">
        <f>IF(SUMPRODUCT(('alle Dateien'!B:B=Bohrungen!B75)*('alle Dateien'!D:D="docx"))&gt;0,1,0)</f>
        <v>0</v>
      </c>
      <c r="H75">
        <f>IF(SUMPRODUCT(('alle Dateien'!B:B=Bohrungen!B75)*('alle Dateien'!D:D="las"))&gt;0,1,0)</f>
        <v>1</v>
      </c>
      <c r="I75">
        <f>IF(SUMPRODUCT(('alle Dateien'!B:B=Bohrungen!B75)*('alle Dateien'!D:D="db"))&gt;0,1,0)</f>
        <v>0</v>
      </c>
      <c r="J75">
        <f>IF(SUMPRODUCT(('alle Dateien'!B:B=Bohrungen!B75)*('alle Dateien'!D:D="rhistory"))&gt;0,1,0)</f>
        <v>0</v>
      </c>
      <c r="K75">
        <f>IF(SUMPRODUCT(('alle Dateien'!B:B=Bohrungen!B75)*('alle Dateien'!D:D="mdb"))&gt;0,1,0)</f>
        <v>0</v>
      </c>
      <c r="L75">
        <f>IF(SUMPRODUCT(('alle Dateien'!B:B=Bohrungen!B75)*('alle Dateien'!D:D="xml"))&gt;0,1,0)</f>
        <v>0</v>
      </c>
      <c r="M75">
        <f>IF(SUMPRODUCT(('alle Dateien'!B:B=Bohrungen!B75)*('alle Dateien'!D:D="jpg"))&gt;0,1,0)</f>
        <v>0</v>
      </c>
      <c r="N75">
        <f>IF(SUMPRODUCT(('alle Dateien'!B:B=Bohrungen!B75)*('alle Dateien'!D:D="png"))&gt;0,1,0)</f>
        <v>0</v>
      </c>
      <c r="O75">
        <f>IF(SUMPRODUCT(('alle Dateien'!B:B=Bohrungen!B75)*('alle Dateien'!D:D="xls"))&gt;0,1,0)</f>
        <v>0</v>
      </c>
      <c r="P75">
        <f>IF(SUMPRODUCT(('alle Dateien'!B:B=Bohrungen!B75)*('alle Dateien'!D:D="txt"))&gt;0,1,0)</f>
        <v>0</v>
      </c>
      <c r="Q75">
        <f>IF(SUMPRODUCT(('alle Dateien'!B:B=Bohrungen!B75)*('alle Dateien'!D:D="ZIP oder R"))&gt;0,1,0)</f>
        <v>0</v>
      </c>
      <c r="R75">
        <f>IF(SUMPRODUCT(('alle Dateien'!B:B=Bohrungen!B75)*('alle Dateien'!D:D="tsf"))&gt;0,1,0)</f>
        <v>0</v>
      </c>
      <c r="S75">
        <f>IF(SUMPRODUCT(('alle Dateien'!B:B=Bohrungen!B75)*('alle Dateien'!D:D="sch"))&gt;0,1,0)</f>
        <v>0</v>
      </c>
      <c r="U75" t="str">
        <f t="shared" si="2"/>
        <v>10110100000000000</v>
      </c>
      <c r="V75" t="str">
        <f>VLOOKUP(U75,Kategorie!B:C,2,FALSE)</f>
        <v>pdf/ sdg/ xlsx/ las</v>
      </c>
    </row>
    <row r="76" spans="1:22" x14ac:dyDescent="0.25">
      <c r="A76">
        <v>75</v>
      </c>
      <c r="B76" t="s">
        <v>2160</v>
      </c>
      <c r="C76" s="2">
        <f>IF(SUMPRODUCT(('alle Dateien'!B:B=Bohrungen!B76)*('alle Dateien'!D:D="pdf"))&gt;0,1,0)</f>
        <v>1</v>
      </c>
      <c r="D76">
        <f>IF(SUMPRODUCT(('alle Dateien'!B:B=Bohrungen!B76)*('alle Dateien'!D:D="tif"))&gt;0,1,0)</f>
        <v>0</v>
      </c>
      <c r="E76">
        <f>IF(SUMPRODUCT(('alle Dateien'!B:B=Bohrungen!B76)*('alle Dateien'!D:D="sdg"))&gt;0,1,0)</f>
        <v>0</v>
      </c>
      <c r="F76">
        <f>IF(SUMPRODUCT(('alle Dateien'!B:B=Bohrungen!B76)*('alle Dateien'!D:D="xlsx"))&gt;0,1,0)</f>
        <v>0</v>
      </c>
      <c r="G76">
        <f>IF(SUMPRODUCT(('alle Dateien'!B:B=Bohrungen!B76)*('alle Dateien'!D:D="docx"))&gt;0,1,0)</f>
        <v>0</v>
      </c>
      <c r="H76">
        <f>IF(SUMPRODUCT(('alle Dateien'!B:B=Bohrungen!B76)*('alle Dateien'!D:D="las"))&gt;0,1,0)</f>
        <v>0</v>
      </c>
      <c r="I76">
        <f>IF(SUMPRODUCT(('alle Dateien'!B:B=Bohrungen!B76)*('alle Dateien'!D:D="db"))&gt;0,1,0)</f>
        <v>0</v>
      </c>
      <c r="J76">
        <f>IF(SUMPRODUCT(('alle Dateien'!B:B=Bohrungen!B76)*('alle Dateien'!D:D="rhistory"))&gt;0,1,0)</f>
        <v>0</v>
      </c>
      <c r="K76">
        <f>IF(SUMPRODUCT(('alle Dateien'!B:B=Bohrungen!B76)*('alle Dateien'!D:D="mdb"))&gt;0,1,0)</f>
        <v>0</v>
      </c>
      <c r="L76">
        <f>IF(SUMPRODUCT(('alle Dateien'!B:B=Bohrungen!B76)*('alle Dateien'!D:D="xml"))&gt;0,1,0)</f>
        <v>0</v>
      </c>
      <c r="M76">
        <f>IF(SUMPRODUCT(('alle Dateien'!B:B=Bohrungen!B76)*('alle Dateien'!D:D="jpg"))&gt;0,1,0)</f>
        <v>1</v>
      </c>
      <c r="N76">
        <f>IF(SUMPRODUCT(('alle Dateien'!B:B=Bohrungen!B76)*('alle Dateien'!D:D="png"))&gt;0,1,0)</f>
        <v>0</v>
      </c>
      <c r="O76">
        <f>IF(SUMPRODUCT(('alle Dateien'!B:B=Bohrungen!B76)*('alle Dateien'!D:D="xls"))&gt;0,1,0)</f>
        <v>0</v>
      </c>
      <c r="P76">
        <f>IF(SUMPRODUCT(('alle Dateien'!B:B=Bohrungen!B76)*('alle Dateien'!D:D="txt"))&gt;0,1,0)</f>
        <v>0</v>
      </c>
      <c r="Q76">
        <f>IF(SUMPRODUCT(('alle Dateien'!B:B=Bohrungen!B76)*('alle Dateien'!D:D="ZIP oder R"))&gt;0,1,0)</f>
        <v>0</v>
      </c>
      <c r="R76">
        <f>IF(SUMPRODUCT(('alle Dateien'!B:B=Bohrungen!B76)*('alle Dateien'!D:D="tsf"))&gt;0,1,0)</f>
        <v>0</v>
      </c>
      <c r="S76">
        <f>IF(SUMPRODUCT(('alle Dateien'!B:B=Bohrungen!B76)*('alle Dateien'!D:D="sch"))&gt;0,1,0)</f>
        <v>0</v>
      </c>
      <c r="U76" t="str">
        <f t="shared" si="2"/>
        <v>10000000001000000</v>
      </c>
      <c r="V76" t="str">
        <f>VLOOKUP(U76,Kategorie!B:C,2,FALSE)</f>
        <v>pdf/ jpg</v>
      </c>
    </row>
    <row r="77" spans="1:22" x14ac:dyDescent="0.25">
      <c r="A77">
        <v>76</v>
      </c>
      <c r="B77" t="s">
        <v>2161</v>
      </c>
      <c r="C77" s="2">
        <f>IF(SUMPRODUCT(('alle Dateien'!B:B=Bohrungen!B77)*('alle Dateien'!D:D="pdf"))&gt;0,1,0)</f>
        <v>1</v>
      </c>
      <c r="D77">
        <f>IF(SUMPRODUCT(('alle Dateien'!B:B=Bohrungen!B77)*('alle Dateien'!D:D="tif"))&gt;0,1,0)</f>
        <v>0</v>
      </c>
      <c r="E77">
        <f>IF(SUMPRODUCT(('alle Dateien'!B:B=Bohrungen!B77)*('alle Dateien'!D:D="sdg"))&gt;0,1,0)</f>
        <v>1</v>
      </c>
      <c r="F77">
        <f>IF(SUMPRODUCT(('alle Dateien'!B:B=Bohrungen!B77)*('alle Dateien'!D:D="xlsx"))&gt;0,1,0)</f>
        <v>1</v>
      </c>
      <c r="G77">
        <f>IF(SUMPRODUCT(('alle Dateien'!B:B=Bohrungen!B77)*('alle Dateien'!D:D="docx"))&gt;0,1,0)</f>
        <v>0</v>
      </c>
      <c r="H77">
        <f>IF(SUMPRODUCT(('alle Dateien'!B:B=Bohrungen!B77)*('alle Dateien'!D:D="las"))&gt;0,1,0)</f>
        <v>1</v>
      </c>
      <c r="I77">
        <f>IF(SUMPRODUCT(('alle Dateien'!B:B=Bohrungen!B77)*('alle Dateien'!D:D="db"))&gt;0,1,0)</f>
        <v>0</v>
      </c>
      <c r="J77">
        <f>IF(SUMPRODUCT(('alle Dateien'!B:B=Bohrungen!B77)*('alle Dateien'!D:D="rhistory"))&gt;0,1,0)</f>
        <v>0</v>
      </c>
      <c r="K77">
        <f>IF(SUMPRODUCT(('alle Dateien'!B:B=Bohrungen!B77)*('alle Dateien'!D:D="mdb"))&gt;0,1,0)</f>
        <v>0</v>
      </c>
      <c r="L77">
        <f>IF(SUMPRODUCT(('alle Dateien'!B:B=Bohrungen!B77)*('alle Dateien'!D:D="xml"))&gt;0,1,0)</f>
        <v>0</v>
      </c>
      <c r="M77">
        <f>IF(SUMPRODUCT(('alle Dateien'!B:B=Bohrungen!B77)*('alle Dateien'!D:D="jpg"))&gt;0,1,0)</f>
        <v>0</v>
      </c>
      <c r="N77">
        <f>IF(SUMPRODUCT(('alle Dateien'!B:B=Bohrungen!B77)*('alle Dateien'!D:D="png"))&gt;0,1,0)</f>
        <v>0</v>
      </c>
      <c r="O77">
        <f>IF(SUMPRODUCT(('alle Dateien'!B:B=Bohrungen!B77)*('alle Dateien'!D:D="xls"))&gt;0,1,0)</f>
        <v>0</v>
      </c>
      <c r="P77">
        <f>IF(SUMPRODUCT(('alle Dateien'!B:B=Bohrungen!B77)*('alle Dateien'!D:D="txt"))&gt;0,1,0)</f>
        <v>0</v>
      </c>
      <c r="Q77">
        <f>IF(SUMPRODUCT(('alle Dateien'!B:B=Bohrungen!B77)*('alle Dateien'!D:D="ZIP oder R"))&gt;0,1,0)</f>
        <v>0</v>
      </c>
      <c r="R77">
        <f>IF(SUMPRODUCT(('alle Dateien'!B:B=Bohrungen!B77)*('alle Dateien'!D:D="tsf"))&gt;0,1,0)</f>
        <v>0</v>
      </c>
      <c r="S77">
        <f>IF(SUMPRODUCT(('alle Dateien'!B:B=Bohrungen!B77)*('alle Dateien'!D:D="sch"))&gt;0,1,0)</f>
        <v>0</v>
      </c>
      <c r="U77" t="str">
        <f t="shared" si="2"/>
        <v>10110100000000000</v>
      </c>
      <c r="V77" t="str">
        <f>VLOOKUP(U77,Kategorie!B:C,2,FALSE)</f>
        <v>pdf/ sdg/ xlsx/ las</v>
      </c>
    </row>
    <row r="78" spans="1:22" x14ac:dyDescent="0.25">
      <c r="A78">
        <v>77</v>
      </c>
      <c r="B78" t="s">
        <v>2162</v>
      </c>
      <c r="C78" s="2">
        <f>IF(SUMPRODUCT(('alle Dateien'!B:B=Bohrungen!B78)*('alle Dateien'!D:D="pdf"))&gt;0,1,0)</f>
        <v>1</v>
      </c>
      <c r="D78">
        <f>IF(SUMPRODUCT(('alle Dateien'!B:B=Bohrungen!B78)*('alle Dateien'!D:D="tif"))&gt;0,1,0)</f>
        <v>0</v>
      </c>
      <c r="E78">
        <f>IF(SUMPRODUCT(('alle Dateien'!B:B=Bohrungen!B78)*('alle Dateien'!D:D="sdg"))&gt;0,1,0)</f>
        <v>0</v>
      </c>
      <c r="F78">
        <f>IF(SUMPRODUCT(('alle Dateien'!B:B=Bohrungen!B78)*('alle Dateien'!D:D="xlsx"))&gt;0,1,0)</f>
        <v>0</v>
      </c>
      <c r="G78">
        <f>IF(SUMPRODUCT(('alle Dateien'!B:B=Bohrungen!B78)*('alle Dateien'!D:D="docx"))&gt;0,1,0)</f>
        <v>0</v>
      </c>
      <c r="H78">
        <f>IF(SUMPRODUCT(('alle Dateien'!B:B=Bohrungen!B78)*('alle Dateien'!D:D="las"))&gt;0,1,0)</f>
        <v>0</v>
      </c>
      <c r="I78">
        <f>IF(SUMPRODUCT(('alle Dateien'!B:B=Bohrungen!B78)*('alle Dateien'!D:D="db"))&gt;0,1,0)</f>
        <v>0</v>
      </c>
      <c r="J78">
        <f>IF(SUMPRODUCT(('alle Dateien'!B:B=Bohrungen!B78)*('alle Dateien'!D:D="rhistory"))&gt;0,1,0)</f>
        <v>0</v>
      </c>
      <c r="K78">
        <f>IF(SUMPRODUCT(('alle Dateien'!B:B=Bohrungen!B78)*('alle Dateien'!D:D="mdb"))&gt;0,1,0)</f>
        <v>0</v>
      </c>
      <c r="L78">
        <f>IF(SUMPRODUCT(('alle Dateien'!B:B=Bohrungen!B78)*('alle Dateien'!D:D="xml"))&gt;0,1,0)</f>
        <v>0</v>
      </c>
      <c r="M78">
        <f>IF(SUMPRODUCT(('alle Dateien'!B:B=Bohrungen!B78)*('alle Dateien'!D:D="jpg"))&gt;0,1,0)</f>
        <v>0</v>
      </c>
      <c r="N78">
        <f>IF(SUMPRODUCT(('alle Dateien'!B:B=Bohrungen!B78)*('alle Dateien'!D:D="png"))&gt;0,1,0)</f>
        <v>0</v>
      </c>
      <c r="O78">
        <f>IF(SUMPRODUCT(('alle Dateien'!B:B=Bohrungen!B78)*('alle Dateien'!D:D="xls"))&gt;0,1,0)</f>
        <v>0</v>
      </c>
      <c r="P78">
        <f>IF(SUMPRODUCT(('alle Dateien'!B:B=Bohrungen!B78)*('alle Dateien'!D:D="txt"))&gt;0,1,0)</f>
        <v>0</v>
      </c>
      <c r="Q78">
        <f>IF(SUMPRODUCT(('alle Dateien'!B:B=Bohrungen!B78)*('alle Dateien'!D:D="ZIP oder R"))&gt;0,1,0)</f>
        <v>0</v>
      </c>
      <c r="R78">
        <f>IF(SUMPRODUCT(('alle Dateien'!B:B=Bohrungen!B78)*('alle Dateien'!D:D="tsf"))&gt;0,1,0)</f>
        <v>0</v>
      </c>
      <c r="S78">
        <f>IF(SUMPRODUCT(('alle Dateien'!B:B=Bohrungen!B78)*('alle Dateien'!D:D="sch"))&gt;0,1,0)</f>
        <v>0</v>
      </c>
      <c r="U78" t="str">
        <f t="shared" si="2"/>
        <v>10000000000000000</v>
      </c>
      <c r="V78" t="str">
        <f>VLOOKUP(U78,Kategorie!B:C,2,FALSE)</f>
        <v>pdf</v>
      </c>
    </row>
    <row r="79" spans="1:22" x14ac:dyDescent="0.25">
      <c r="A79">
        <v>78</v>
      </c>
      <c r="B79" t="s">
        <v>2163</v>
      </c>
      <c r="C79" s="2">
        <f>IF(SUMPRODUCT(('alle Dateien'!B:B=Bohrungen!B79)*('alle Dateien'!D:D="pdf"))&gt;0,1,0)</f>
        <v>1</v>
      </c>
      <c r="D79">
        <f>IF(SUMPRODUCT(('alle Dateien'!B:B=Bohrungen!B79)*('alle Dateien'!D:D="tif"))&gt;0,1,0)</f>
        <v>0</v>
      </c>
      <c r="E79">
        <f>IF(SUMPRODUCT(('alle Dateien'!B:B=Bohrungen!B79)*('alle Dateien'!D:D="sdg"))&gt;0,1,0)</f>
        <v>0</v>
      </c>
      <c r="F79">
        <f>IF(SUMPRODUCT(('alle Dateien'!B:B=Bohrungen!B79)*('alle Dateien'!D:D="xlsx"))&gt;0,1,0)</f>
        <v>0</v>
      </c>
      <c r="G79">
        <f>IF(SUMPRODUCT(('alle Dateien'!B:B=Bohrungen!B79)*('alle Dateien'!D:D="docx"))&gt;0,1,0)</f>
        <v>0</v>
      </c>
      <c r="H79">
        <f>IF(SUMPRODUCT(('alle Dateien'!B:B=Bohrungen!B79)*('alle Dateien'!D:D="las"))&gt;0,1,0)</f>
        <v>0</v>
      </c>
      <c r="I79">
        <f>IF(SUMPRODUCT(('alle Dateien'!B:B=Bohrungen!B79)*('alle Dateien'!D:D="db"))&gt;0,1,0)</f>
        <v>0</v>
      </c>
      <c r="J79">
        <f>IF(SUMPRODUCT(('alle Dateien'!B:B=Bohrungen!B79)*('alle Dateien'!D:D="rhistory"))&gt;0,1,0)</f>
        <v>0</v>
      </c>
      <c r="K79">
        <f>IF(SUMPRODUCT(('alle Dateien'!B:B=Bohrungen!B79)*('alle Dateien'!D:D="mdb"))&gt;0,1,0)</f>
        <v>0</v>
      </c>
      <c r="L79">
        <f>IF(SUMPRODUCT(('alle Dateien'!B:B=Bohrungen!B79)*('alle Dateien'!D:D="xml"))&gt;0,1,0)</f>
        <v>0</v>
      </c>
      <c r="M79">
        <f>IF(SUMPRODUCT(('alle Dateien'!B:B=Bohrungen!B79)*('alle Dateien'!D:D="jpg"))&gt;0,1,0)</f>
        <v>0</v>
      </c>
      <c r="N79">
        <f>IF(SUMPRODUCT(('alle Dateien'!B:B=Bohrungen!B79)*('alle Dateien'!D:D="png"))&gt;0,1,0)</f>
        <v>0</v>
      </c>
      <c r="O79">
        <f>IF(SUMPRODUCT(('alle Dateien'!B:B=Bohrungen!B79)*('alle Dateien'!D:D="xls"))&gt;0,1,0)</f>
        <v>0</v>
      </c>
      <c r="P79">
        <f>IF(SUMPRODUCT(('alle Dateien'!B:B=Bohrungen!B79)*('alle Dateien'!D:D="txt"))&gt;0,1,0)</f>
        <v>0</v>
      </c>
      <c r="Q79">
        <f>IF(SUMPRODUCT(('alle Dateien'!B:B=Bohrungen!B79)*('alle Dateien'!D:D="ZIP oder R"))&gt;0,1,0)</f>
        <v>0</v>
      </c>
      <c r="R79">
        <f>IF(SUMPRODUCT(('alle Dateien'!B:B=Bohrungen!B79)*('alle Dateien'!D:D="tsf"))&gt;0,1,0)</f>
        <v>0</v>
      </c>
      <c r="S79">
        <f>IF(SUMPRODUCT(('alle Dateien'!B:B=Bohrungen!B79)*('alle Dateien'!D:D="sch"))&gt;0,1,0)</f>
        <v>0</v>
      </c>
      <c r="U79" t="str">
        <f t="shared" si="2"/>
        <v>10000000000000000</v>
      </c>
      <c r="V79" t="str">
        <f>VLOOKUP(U79,Kategorie!B:C,2,FALSE)</f>
        <v>pdf</v>
      </c>
    </row>
    <row r="80" spans="1:22" x14ac:dyDescent="0.25">
      <c r="A80">
        <v>79</v>
      </c>
      <c r="B80" t="s">
        <v>2164</v>
      </c>
      <c r="C80" s="2">
        <f>IF(SUMPRODUCT(('alle Dateien'!B:B=Bohrungen!B80)*('alle Dateien'!D:D="pdf"))&gt;0,1,0)</f>
        <v>1</v>
      </c>
      <c r="D80">
        <f>IF(SUMPRODUCT(('alle Dateien'!B:B=Bohrungen!B80)*('alle Dateien'!D:D="tif"))&gt;0,1,0)</f>
        <v>0</v>
      </c>
      <c r="E80">
        <f>IF(SUMPRODUCT(('alle Dateien'!B:B=Bohrungen!B80)*('alle Dateien'!D:D="sdg"))&gt;0,1,0)</f>
        <v>0</v>
      </c>
      <c r="F80">
        <f>IF(SUMPRODUCT(('alle Dateien'!B:B=Bohrungen!B80)*('alle Dateien'!D:D="xlsx"))&gt;0,1,0)</f>
        <v>0</v>
      </c>
      <c r="G80">
        <f>IF(SUMPRODUCT(('alle Dateien'!B:B=Bohrungen!B80)*('alle Dateien'!D:D="docx"))&gt;0,1,0)</f>
        <v>0</v>
      </c>
      <c r="H80">
        <f>IF(SUMPRODUCT(('alle Dateien'!B:B=Bohrungen!B80)*('alle Dateien'!D:D="las"))&gt;0,1,0)</f>
        <v>0</v>
      </c>
      <c r="I80">
        <f>IF(SUMPRODUCT(('alle Dateien'!B:B=Bohrungen!B80)*('alle Dateien'!D:D="db"))&gt;0,1,0)</f>
        <v>0</v>
      </c>
      <c r="J80">
        <f>IF(SUMPRODUCT(('alle Dateien'!B:B=Bohrungen!B80)*('alle Dateien'!D:D="rhistory"))&gt;0,1,0)</f>
        <v>0</v>
      </c>
      <c r="K80">
        <f>IF(SUMPRODUCT(('alle Dateien'!B:B=Bohrungen!B80)*('alle Dateien'!D:D="mdb"))&gt;0,1,0)</f>
        <v>0</v>
      </c>
      <c r="L80">
        <f>IF(SUMPRODUCT(('alle Dateien'!B:B=Bohrungen!B80)*('alle Dateien'!D:D="xml"))&gt;0,1,0)</f>
        <v>0</v>
      </c>
      <c r="M80">
        <f>IF(SUMPRODUCT(('alle Dateien'!B:B=Bohrungen!B80)*('alle Dateien'!D:D="jpg"))&gt;0,1,0)</f>
        <v>0</v>
      </c>
      <c r="N80">
        <f>IF(SUMPRODUCT(('alle Dateien'!B:B=Bohrungen!B80)*('alle Dateien'!D:D="png"))&gt;0,1,0)</f>
        <v>0</v>
      </c>
      <c r="O80">
        <f>IF(SUMPRODUCT(('alle Dateien'!B:B=Bohrungen!B80)*('alle Dateien'!D:D="xls"))&gt;0,1,0)</f>
        <v>0</v>
      </c>
      <c r="P80">
        <f>IF(SUMPRODUCT(('alle Dateien'!B:B=Bohrungen!B80)*('alle Dateien'!D:D="txt"))&gt;0,1,0)</f>
        <v>0</v>
      </c>
      <c r="Q80">
        <f>IF(SUMPRODUCT(('alle Dateien'!B:B=Bohrungen!B80)*('alle Dateien'!D:D="ZIP oder R"))&gt;0,1,0)</f>
        <v>0</v>
      </c>
      <c r="R80">
        <f>IF(SUMPRODUCT(('alle Dateien'!B:B=Bohrungen!B80)*('alle Dateien'!D:D="tsf"))&gt;0,1,0)</f>
        <v>0</v>
      </c>
      <c r="S80">
        <f>IF(SUMPRODUCT(('alle Dateien'!B:B=Bohrungen!B80)*('alle Dateien'!D:D="sch"))&gt;0,1,0)</f>
        <v>0</v>
      </c>
      <c r="U80" t="str">
        <f t="shared" si="2"/>
        <v>10000000000000000</v>
      </c>
      <c r="V80" t="str">
        <f>VLOOKUP(U80,Kategorie!B:C,2,FALSE)</f>
        <v>pdf</v>
      </c>
    </row>
    <row r="81" spans="1:22" x14ac:dyDescent="0.25">
      <c r="A81">
        <v>80</v>
      </c>
      <c r="B81" t="s">
        <v>2165</v>
      </c>
      <c r="C81" s="2">
        <f>IF(SUMPRODUCT(('alle Dateien'!B:B=Bohrungen!B81)*('alle Dateien'!D:D="pdf"))&gt;0,1,0)</f>
        <v>1</v>
      </c>
      <c r="D81">
        <f>IF(SUMPRODUCT(('alle Dateien'!B:B=Bohrungen!B81)*('alle Dateien'!D:D="tif"))&gt;0,1,0)</f>
        <v>1</v>
      </c>
      <c r="E81">
        <f>IF(SUMPRODUCT(('alle Dateien'!B:B=Bohrungen!B81)*('alle Dateien'!D:D="sdg"))&gt;0,1,0)</f>
        <v>1</v>
      </c>
      <c r="F81">
        <f>IF(SUMPRODUCT(('alle Dateien'!B:B=Bohrungen!B81)*('alle Dateien'!D:D="xlsx"))&gt;0,1,0)</f>
        <v>1</v>
      </c>
      <c r="G81">
        <f>IF(SUMPRODUCT(('alle Dateien'!B:B=Bohrungen!B81)*('alle Dateien'!D:D="docx"))&gt;0,1,0)</f>
        <v>1</v>
      </c>
      <c r="H81">
        <f>IF(SUMPRODUCT(('alle Dateien'!B:B=Bohrungen!B81)*('alle Dateien'!D:D="las"))&gt;0,1,0)</f>
        <v>1</v>
      </c>
      <c r="I81">
        <f>IF(SUMPRODUCT(('alle Dateien'!B:B=Bohrungen!B81)*('alle Dateien'!D:D="db"))&gt;0,1,0)</f>
        <v>0</v>
      </c>
      <c r="J81">
        <f>IF(SUMPRODUCT(('alle Dateien'!B:B=Bohrungen!B81)*('alle Dateien'!D:D="rhistory"))&gt;0,1,0)</f>
        <v>0</v>
      </c>
      <c r="K81">
        <f>IF(SUMPRODUCT(('alle Dateien'!B:B=Bohrungen!B81)*('alle Dateien'!D:D="mdb"))&gt;0,1,0)</f>
        <v>0</v>
      </c>
      <c r="L81">
        <f>IF(SUMPRODUCT(('alle Dateien'!B:B=Bohrungen!B81)*('alle Dateien'!D:D="xml"))&gt;0,1,0)</f>
        <v>0</v>
      </c>
      <c r="M81">
        <f>IF(SUMPRODUCT(('alle Dateien'!B:B=Bohrungen!B81)*('alle Dateien'!D:D="jpg"))&gt;0,1,0)</f>
        <v>0</v>
      </c>
      <c r="N81">
        <f>IF(SUMPRODUCT(('alle Dateien'!B:B=Bohrungen!B81)*('alle Dateien'!D:D="png"))&gt;0,1,0)</f>
        <v>0</v>
      </c>
      <c r="O81">
        <f>IF(SUMPRODUCT(('alle Dateien'!B:B=Bohrungen!B81)*('alle Dateien'!D:D="xls"))&gt;0,1,0)</f>
        <v>0</v>
      </c>
      <c r="P81">
        <f>IF(SUMPRODUCT(('alle Dateien'!B:B=Bohrungen!B81)*('alle Dateien'!D:D="txt"))&gt;0,1,0)</f>
        <v>0</v>
      </c>
      <c r="Q81">
        <f>IF(SUMPRODUCT(('alle Dateien'!B:B=Bohrungen!B81)*('alle Dateien'!D:D="ZIP oder R"))&gt;0,1,0)</f>
        <v>0</v>
      </c>
      <c r="R81">
        <f>IF(SUMPRODUCT(('alle Dateien'!B:B=Bohrungen!B81)*('alle Dateien'!D:D="tsf"))&gt;0,1,0)</f>
        <v>0</v>
      </c>
      <c r="S81">
        <f>IF(SUMPRODUCT(('alle Dateien'!B:B=Bohrungen!B81)*('alle Dateien'!D:D="sch"))&gt;0,1,0)</f>
        <v>0</v>
      </c>
      <c r="U81" t="str">
        <f t="shared" si="2"/>
        <v>11111100000000000</v>
      </c>
      <c r="V81" t="str">
        <f>VLOOKUP(U81,Kategorie!B:C,2,FALSE)</f>
        <v>pdf/ tif/ sdg/ xlsx/ docx/ las</v>
      </c>
    </row>
    <row r="82" spans="1:22" x14ac:dyDescent="0.25">
      <c r="A82">
        <v>81</v>
      </c>
      <c r="B82" t="s">
        <v>2166</v>
      </c>
      <c r="C82" s="2">
        <f>IF(SUMPRODUCT(('alle Dateien'!B:B=Bohrungen!B82)*('alle Dateien'!D:D="pdf"))&gt;0,1,0)</f>
        <v>1</v>
      </c>
      <c r="D82">
        <f>IF(SUMPRODUCT(('alle Dateien'!B:B=Bohrungen!B82)*('alle Dateien'!D:D="tif"))&gt;0,1,0)</f>
        <v>0</v>
      </c>
      <c r="E82">
        <f>IF(SUMPRODUCT(('alle Dateien'!B:B=Bohrungen!B82)*('alle Dateien'!D:D="sdg"))&gt;0,1,0)</f>
        <v>1</v>
      </c>
      <c r="F82">
        <f>IF(SUMPRODUCT(('alle Dateien'!B:B=Bohrungen!B82)*('alle Dateien'!D:D="xlsx"))&gt;0,1,0)</f>
        <v>1</v>
      </c>
      <c r="G82">
        <f>IF(SUMPRODUCT(('alle Dateien'!B:B=Bohrungen!B82)*('alle Dateien'!D:D="docx"))&gt;0,1,0)</f>
        <v>0</v>
      </c>
      <c r="H82">
        <f>IF(SUMPRODUCT(('alle Dateien'!B:B=Bohrungen!B82)*('alle Dateien'!D:D="las"))&gt;0,1,0)</f>
        <v>1</v>
      </c>
      <c r="I82">
        <f>IF(SUMPRODUCT(('alle Dateien'!B:B=Bohrungen!B82)*('alle Dateien'!D:D="db"))&gt;0,1,0)</f>
        <v>0</v>
      </c>
      <c r="J82">
        <f>IF(SUMPRODUCT(('alle Dateien'!B:B=Bohrungen!B82)*('alle Dateien'!D:D="rhistory"))&gt;0,1,0)</f>
        <v>0</v>
      </c>
      <c r="K82">
        <f>IF(SUMPRODUCT(('alle Dateien'!B:B=Bohrungen!B82)*('alle Dateien'!D:D="mdb"))&gt;0,1,0)</f>
        <v>0</v>
      </c>
      <c r="L82">
        <f>IF(SUMPRODUCT(('alle Dateien'!B:B=Bohrungen!B82)*('alle Dateien'!D:D="xml"))&gt;0,1,0)</f>
        <v>0</v>
      </c>
      <c r="M82">
        <f>IF(SUMPRODUCT(('alle Dateien'!B:B=Bohrungen!B82)*('alle Dateien'!D:D="jpg"))&gt;0,1,0)</f>
        <v>0</v>
      </c>
      <c r="N82">
        <f>IF(SUMPRODUCT(('alle Dateien'!B:B=Bohrungen!B82)*('alle Dateien'!D:D="png"))&gt;0,1,0)</f>
        <v>0</v>
      </c>
      <c r="O82">
        <f>IF(SUMPRODUCT(('alle Dateien'!B:B=Bohrungen!B82)*('alle Dateien'!D:D="xls"))&gt;0,1,0)</f>
        <v>0</v>
      </c>
      <c r="P82">
        <f>IF(SUMPRODUCT(('alle Dateien'!B:B=Bohrungen!B82)*('alle Dateien'!D:D="txt"))&gt;0,1,0)</f>
        <v>0</v>
      </c>
      <c r="Q82">
        <f>IF(SUMPRODUCT(('alle Dateien'!B:B=Bohrungen!B82)*('alle Dateien'!D:D="ZIP oder R"))&gt;0,1,0)</f>
        <v>0</v>
      </c>
      <c r="R82">
        <f>IF(SUMPRODUCT(('alle Dateien'!B:B=Bohrungen!B82)*('alle Dateien'!D:D="tsf"))&gt;0,1,0)</f>
        <v>0</v>
      </c>
      <c r="S82">
        <f>IF(SUMPRODUCT(('alle Dateien'!B:B=Bohrungen!B82)*('alle Dateien'!D:D="sch"))&gt;0,1,0)</f>
        <v>0</v>
      </c>
      <c r="U82" t="str">
        <f t="shared" si="2"/>
        <v>10110100000000000</v>
      </c>
      <c r="V82" t="str">
        <f>VLOOKUP(U82,Kategorie!B:C,2,FALSE)</f>
        <v>pdf/ sdg/ xlsx/ las</v>
      </c>
    </row>
    <row r="83" spans="1:22" x14ac:dyDescent="0.25">
      <c r="A83">
        <v>82</v>
      </c>
      <c r="B83" t="s">
        <v>2167</v>
      </c>
      <c r="C83" s="2">
        <f>IF(SUMPRODUCT(('alle Dateien'!B:B=Bohrungen!B83)*('alle Dateien'!D:D="pdf"))&gt;0,1,0)</f>
        <v>0</v>
      </c>
      <c r="D83">
        <f>IF(SUMPRODUCT(('alle Dateien'!B:B=Bohrungen!B83)*('alle Dateien'!D:D="tif"))&gt;0,1,0)</f>
        <v>0</v>
      </c>
      <c r="E83">
        <f>IF(SUMPRODUCT(('alle Dateien'!B:B=Bohrungen!B83)*('alle Dateien'!D:D="sdg"))&gt;0,1,0)</f>
        <v>1</v>
      </c>
      <c r="F83">
        <f>IF(SUMPRODUCT(('alle Dateien'!B:B=Bohrungen!B83)*('alle Dateien'!D:D="xlsx"))&gt;0,1,0)</f>
        <v>1</v>
      </c>
      <c r="G83">
        <f>IF(SUMPRODUCT(('alle Dateien'!B:B=Bohrungen!B83)*('alle Dateien'!D:D="docx"))&gt;0,1,0)</f>
        <v>0</v>
      </c>
      <c r="H83">
        <f>IF(SUMPRODUCT(('alle Dateien'!B:B=Bohrungen!B83)*('alle Dateien'!D:D="las"))&gt;0,1,0)</f>
        <v>1</v>
      </c>
      <c r="I83">
        <f>IF(SUMPRODUCT(('alle Dateien'!B:B=Bohrungen!B83)*('alle Dateien'!D:D="db"))&gt;0,1,0)</f>
        <v>0</v>
      </c>
      <c r="J83">
        <f>IF(SUMPRODUCT(('alle Dateien'!B:B=Bohrungen!B83)*('alle Dateien'!D:D="rhistory"))&gt;0,1,0)</f>
        <v>0</v>
      </c>
      <c r="K83">
        <f>IF(SUMPRODUCT(('alle Dateien'!B:B=Bohrungen!B83)*('alle Dateien'!D:D="mdb"))&gt;0,1,0)</f>
        <v>0</v>
      </c>
      <c r="L83">
        <f>IF(SUMPRODUCT(('alle Dateien'!B:B=Bohrungen!B83)*('alle Dateien'!D:D="xml"))&gt;0,1,0)</f>
        <v>0</v>
      </c>
      <c r="M83">
        <f>IF(SUMPRODUCT(('alle Dateien'!B:B=Bohrungen!B83)*('alle Dateien'!D:D="jpg"))&gt;0,1,0)</f>
        <v>0</v>
      </c>
      <c r="N83">
        <f>IF(SUMPRODUCT(('alle Dateien'!B:B=Bohrungen!B83)*('alle Dateien'!D:D="png"))&gt;0,1,0)</f>
        <v>0</v>
      </c>
      <c r="O83">
        <f>IF(SUMPRODUCT(('alle Dateien'!B:B=Bohrungen!B83)*('alle Dateien'!D:D="xls"))&gt;0,1,0)</f>
        <v>0</v>
      </c>
      <c r="P83">
        <f>IF(SUMPRODUCT(('alle Dateien'!B:B=Bohrungen!B83)*('alle Dateien'!D:D="txt"))&gt;0,1,0)</f>
        <v>0</v>
      </c>
      <c r="Q83">
        <f>IF(SUMPRODUCT(('alle Dateien'!B:B=Bohrungen!B83)*('alle Dateien'!D:D="ZIP oder R"))&gt;0,1,0)</f>
        <v>0</v>
      </c>
      <c r="R83">
        <f>IF(SUMPRODUCT(('alle Dateien'!B:B=Bohrungen!B83)*('alle Dateien'!D:D="tsf"))&gt;0,1,0)</f>
        <v>0</v>
      </c>
      <c r="S83">
        <f>IF(SUMPRODUCT(('alle Dateien'!B:B=Bohrungen!B83)*('alle Dateien'!D:D="sch"))&gt;0,1,0)</f>
        <v>0</v>
      </c>
      <c r="U83" t="str">
        <f t="shared" si="2"/>
        <v>00110100000000000</v>
      </c>
      <c r="V83" t="str">
        <f>VLOOKUP(U83,Kategorie!B:C,2,FALSE)</f>
        <v>sdg/ xlsx/ las</v>
      </c>
    </row>
    <row r="84" spans="1:22" x14ac:dyDescent="0.25">
      <c r="A84">
        <v>83</v>
      </c>
      <c r="B84" t="s">
        <v>2168</v>
      </c>
      <c r="C84" s="2">
        <f>IF(SUMPRODUCT(('alle Dateien'!B:B=Bohrungen!B84)*('alle Dateien'!D:D="pdf"))&gt;0,1,0)</f>
        <v>1</v>
      </c>
      <c r="D84">
        <f>IF(SUMPRODUCT(('alle Dateien'!B:B=Bohrungen!B84)*('alle Dateien'!D:D="tif"))&gt;0,1,0)</f>
        <v>0</v>
      </c>
      <c r="E84">
        <f>IF(SUMPRODUCT(('alle Dateien'!B:B=Bohrungen!B84)*('alle Dateien'!D:D="sdg"))&gt;0,1,0)</f>
        <v>0</v>
      </c>
      <c r="F84">
        <f>IF(SUMPRODUCT(('alle Dateien'!B:B=Bohrungen!B84)*('alle Dateien'!D:D="xlsx"))&gt;0,1,0)</f>
        <v>0</v>
      </c>
      <c r="G84">
        <f>IF(SUMPRODUCT(('alle Dateien'!B:B=Bohrungen!B84)*('alle Dateien'!D:D="docx"))&gt;0,1,0)</f>
        <v>0</v>
      </c>
      <c r="H84">
        <f>IF(SUMPRODUCT(('alle Dateien'!B:B=Bohrungen!B84)*('alle Dateien'!D:D="las"))&gt;0,1,0)</f>
        <v>0</v>
      </c>
      <c r="I84">
        <f>IF(SUMPRODUCT(('alle Dateien'!B:B=Bohrungen!B84)*('alle Dateien'!D:D="db"))&gt;0,1,0)</f>
        <v>0</v>
      </c>
      <c r="J84">
        <f>IF(SUMPRODUCT(('alle Dateien'!B:B=Bohrungen!B84)*('alle Dateien'!D:D="rhistory"))&gt;0,1,0)</f>
        <v>0</v>
      </c>
      <c r="K84">
        <f>IF(SUMPRODUCT(('alle Dateien'!B:B=Bohrungen!B84)*('alle Dateien'!D:D="mdb"))&gt;0,1,0)</f>
        <v>0</v>
      </c>
      <c r="L84">
        <f>IF(SUMPRODUCT(('alle Dateien'!B:B=Bohrungen!B84)*('alle Dateien'!D:D="xml"))&gt;0,1,0)</f>
        <v>0</v>
      </c>
      <c r="M84">
        <f>IF(SUMPRODUCT(('alle Dateien'!B:B=Bohrungen!B84)*('alle Dateien'!D:D="jpg"))&gt;0,1,0)</f>
        <v>0</v>
      </c>
      <c r="N84">
        <f>IF(SUMPRODUCT(('alle Dateien'!B:B=Bohrungen!B84)*('alle Dateien'!D:D="png"))&gt;0,1,0)</f>
        <v>0</v>
      </c>
      <c r="O84">
        <f>IF(SUMPRODUCT(('alle Dateien'!B:B=Bohrungen!B84)*('alle Dateien'!D:D="xls"))&gt;0,1,0)</f>
        <v>0</v>
      </c>
      <c r="P84">
        <f>IF(SUMPRODUCT(('alle Dateien'!B:B=Bohrungen!B84)*('alle Dateien'!D:D="txt"))&gt;0,1,0)</f>
        <v>0</v>
      </c>
      <c r="Q84">
        <f>IF(SUMPRODUCT(('alle Dateien'!B:B=Bohrungen!B84)*('alle Dateien'!D:D="ZIP oder R"))&gt;0,1,0)</f>
        <v>0</v>
      </c>
      <c r="R84">
        <f>IF(SUMPRODUCT(('alle Dateien'!B:B=Bohrungen!B84)*('alle Dateien'!D:D="tsf"))&gt;0,1,0)</f>
        <v>0</v>
      </c>
      <c r="S84">
        <f>IF(SUMPRODUCT(('alle Dateien'!B:B=Bohrungen!B84)*('alle Dateien'!D:D="sch"))&gt;0,1,0)</f>
        <v>0</v>
      </c>
      <c r="U84" t="str">
        <f t="shared" si="2"/>
        <v>10000000000000000</v>
      </c>
      <c r="V84" t="str">
        <f>VLOOKUP(U84,Kategorie!B:C,2,FALSE)</f>
        <v>pdf</v>
      </c>
    </row>
    <row r="85" spans="1:22" x14ac:dyDescent="0.25">
      <c r="A85">
        <v>84</v>
      </c>
      <c r="B85" t="s">
        <v>2169</v>
      </c>
      <c r="C85" s="2">
        <f>IF(SUMPRODUCT(('alle Dateien'!B:B=Bohrungen!B85)*('alle Dateien'!D:D="pdf"))&gt;0,1,0)</f>
        <v>0</v>
      </c>
      <c r="D85">
        <f>IF(SUMPRODUCT(('alle Dateien'!B:B=Bohrungen!B85)*('alle Dateien'!D:D="tif"))&gt;0,1,0)</f>
        <v>0</v>
      </c>
      <c r="E85">
        <f>IF(SUMPRODUCT(('alle Dateien'!B:B=Bohrungen!B85)*('alle Dateien'!D:D="sdg"))&gt;0,1,0)</f>
        <v>1</v>
      </c>
      <c r="F85">
        <f>IF(SUMPRODUCT(('alle Dateien'!B:B=Bohrungen!B85)*('alle Dateien'!D:D="xlsx"))&gt;0,1,0)</f>
        <v>1</v>
      </c>
      <c r="G85">
        <f>IF(SUMPRODUCT(('alle Dateien'!B:B=Bohrungen!B85)*('alle Dateien'!D:D="docx"))&gt;0,1,0)</f>
        <v>0</v>
      </c>
      <c r="H85">
        <f>IF(SUMPRODUCT(('alle Dateien'!B:B=Bohrungen!B85)*('alle Dateien'!D:D="las"))&gt;0,1,0)</f>
        <v>1</v>
      </c>
      <c r="I85">
        <f>IF(SUMPRODUCT(('alle Dateien'!B:B=Bohrungen!B85)*('alle Dateien'!D:D="db"))&gt;0,1,0)</f>
        <v>0</v>
      </c>
      <c r="J85">
        <f>IF(SUMPRODUCT(('alle Dateien'!B:B=Bohrungen!B85)*('alle Dateien'!D:D="rhistory"))&gt;0,1,0)</f>
        <v>0</v>
      </c>
      <c r="K85">
        <f>IF(SUMPRODUCT(('alle Dateien'!B:B=Bohrungen!B85)*('alle Dateien'!D:D="mdb"))&gt;0,1,0)</f>
        <v>0</v>
      </c>
      <c r="L85">
        <f>IF(SUMPRODUCT(('alle Dateien'!B:B=Bohrungen!B85)*('alle Dateien'!D:D="xml"))&gt;0,1,0)</f>
        <v>0</v>
      </c>
      <c r="M85">
        <f>IF(SUMPRODUCT(('alle Dateien'!B:B=Bohrungen!B85)*('alle Dateien'!D:D="jpg"))&gt;0,1,0)</f>
        <v>0</v>
      </c>
      <c r="N85">
        <f>IF(SUMPRODUCT(('alle Dateien'!B:B=Bohrungen!B85)*('alle Dateien'!D:D="png"))&gt;0,1,0)</f>
        <v>0</v>
      </c>
      <c r="O85">
        <f>IF(SUMPRODUCT(('alle Dateien'!B:B=Bohrungen!B85)*('alle Dateien'!D:D="xls"))&gt;0,1,0)</f>
        <v>0</v>
      </c>
      <c r="P85">
        <f>IF(SUMPRODUCT(('alle Dateien'!B:B=Bohrungen!B85)*('alle Dateien'!D:D="txt"))&gt;0,1,0)</f>
        <v>0</v>
      </c>
      <c r="Q85">
        <f>IF(SUMPRODUCT(('alle Dateien'!B:B=Bohrungen!B85)*('alle Dateien'!D:D="ZIP oder R"))&gt;0,1,0)</f>
        <v>0</v>
      </c>
      <c r="R85">
        <f>IF(SUMPRODUCT(('alle Dateien'!B:B=Bohrungen!B85)*('alle Dateien'!D:D="tsf"))&gt;0,1,0)</f>
        <v>0</v>
      </c>
      <c r="S85">
        <f>IF(SUMPRODUCT(('alle Dateien'!B:B=Bohrungen!B85)*('alle Dateien'!D:D="sch"))&gt;0,1,0)</f>
        <v>0</v>
      </c>
      <c r="U85" t="str">
        <f t="shared" si="2"/>
        <v>00110100000000000</v>
      </c>
      <c r="V85" t="str">
        <f>VLOOKUP(U85,Kategorie!B:C,2,FALSE)</f>
        <v>sdg/ xlsx/ las</v>
      </c>
    </row>
    <row r="86" spans="1:22" x14ac:dyDescent="0.25">
      <c r="A86">
        <v>85</v>
      </c>
      <c r="B86" t="s">
        <v>2171</v>
      </c>
      <c r="C86" s="2">
        <f>IF(SUMPRODUCT(('alle Dateien'!B:B=Bohrungen!B86)*('alle Dateien'!D:D="pdf"))&gt;0,1,0)</f>
        <v>0</v>
      </c>
      <c r="D86">
        <f>IF(SUMPRODUCT(('alle Dateien'!B:B=Bohrungen!B86)*('alle Dateien'!D:D="tif"))&gt;0,1,0)</f>
        <v>1</v>
      </c>
      <c r="E86">
        <f>IF(SUMPRODUCT(('alle Dateien'!B:B=Bohrungen!B86)*('alle Dateien'!D:D="sdg"))&gt;0,1,0)</f>
        <v>1</v>
      </c>
      <c r="F86">
        <f>IF(SUMPRODUCT(('alle Dateien'!B:B=Bohrungen!B86)*('alle Dateien'!D:D="xlsx"))&gt;0,1,0)</f>
        <v>1</v>
      </c>
      <c r="G86">
        <f>IF(SUMPRODUCT(('alle Dateien'!B:B=Bohrungen!B86)*('alle Dateien'!D:D="docx"))&gt;0,1,0)</f>
        <v>1</v>
      </c>
      <c r="H86">
        <f>IF(SUMPRODUCT(('alle Dateien'!B:B=Bohrungen!B86)*('alle Dateien'!D:D="las"))&gt;0,1,0)</f>
        <v>1</v>
      </c>
      <c r="I86">
        <f>IF(SUMPRODUCT(('alle Dateien'!B:B=Bohrungen!B86)*('alle Dateien'!D:D="db"))&gt;0,1,0)</f>
        <v>1</v>
      </c>
      <c r="J86">
        <f>IF(SUMPRODUCT(('alle Dateien'!B:B=Bohrungen!B86)*('alle Dateien'!D:D="rhistory"))&gt;0,1,0)</f>
        <v>0</v>
      </c>
      <c r="K86">
        <f>IF(SUMPRODUCT(('alle Dateien'!B:B=Bohrungen!B86)*('alle Dateien'!D:D="mdb"))&gt;0,1,0)</f>
        <v>0</v>
      </c>
      <c r="L86">
        <f>IF(SUMPRODUCT(('alle Dateien'!B:B=Bohrungen!B86)*('alle Dateien'!D:D="xml"))&gt;0,1,0)</f>
        <v>0</v>
      </c>
      <c r="M86">
        <f>IF(SUMPRODUCT(('alle Dateien'!B:B=Bohrungen!B86)*('alle Dateien'!D:D="jpg"))&gt;0,1,0)</f>
        <v>0</v>
      </c>
      <c r="N86">
        <f>IF(SUMPRODUCT(('alle Dateien'!B:B=Bohrungen!B86)*('alle Dateien'!D:D="png"))&gt;0,1,0)</f>
        <v>0</v>
      </c>
      <c r="O86">
        <f>IF(SUMPRODUCT(('alle Dateien'!B:B=Bohrungen!B86)*('alle Dateien'!D:D="xls"))&gt;0,1,0)</f>
        <v>0</v>
      </c>
      <c r="P86">
        <f>IF(SUMPRODUCT(('alle Dateien'!B:B=Bohrungen!B86)*('alle Dateien'!D:D="txt"))&gt;0,1,0)</f>
        <v>0</v>
      </c>
      <c r="Q86">
        <f>IF(SUMPRODUCT(('alle Dateien'!B:B=Bohrungen!B86)*('alle Dateien'!D:D="ZIP oder R"))&gt;0,1,0)</f>
        <v>0</v>
      </c>
      <c r="R86">
        <f>IF(SUMPRODUCT(('alle Dateien'!B:B=Bohrungen!B86)*('alle Dateien'!D:D="tsf"))&gt;0,1,0)</f>
        <v>0</v>
      </c>
      <c r="S86">
        <f>IF(SUMPRODUCT(('alle Dateien'!B:B=Bohrungen!B86)*('alle Dateien'!D:D="sch"))&gt;0,1,0)</f>
        <v>0</v>
      </c>
      <c r="U86" t="str">
        <f t="shared" si="2"/>
        <v>01111110000000000</v>
      </c>
      <c r="V86" t="str">
        <f>VLOOKUP(U86,Kategorie!B:C,2,FALSE)</f>
        <v>tif/ sdg/ xlsx/ docx/ las/ db</v>
      </c>
    </row>
    <row r="87" spans="1:22" x14ac:dyDescent="0.25">
      <c r="A87">
        <v>86</v>
      </c>
      <c r="B87" t="s">
        <v>2172</v>
      </c>
      <c r="C87" s="2">
        <f>IF(SUMPRODUCT(('alle Dateien'!B:B=Bohrungen!B87)*('alle Dateien'!D:D="pdf"))&gt;0,1,0)</f>
        <v>1</v>
      </c>
      <c r="D87">
        <f>IF(SUMPRODUCT(('alle Dateien'!B:B=Bohrungen!B87)*('alle Dateien'!D:D="tif"))&gt;0,1,0)</f>
        <v>0</v>
      </c>
      <c r="E87">
        <f>IF(SUMPRODUCT(('alle Dateien'!B:B=Bohrungen!B87)*('alle Dateien'!D:D="sdg"))&gt;0,1,0)</f>
        <v>0</v>
      </c>
      <c r="F87">
        <f>IF(SUMPRODUCT(('alle Dateien'!B:B=Bohrungen!B87)*('alle Dateien'!D:D="xlsx"))&gt;0,1,0)</f>
        <v>0</v>
      </c>
      <c r="G87">
        <f>IF(SUMPRODUCT(('alle Dateien'!B:B=Bohrungen!B87)*('alle Dateien'!D:D="docx"))&gt;0,1,0)</f>
        <v>0</v>
      </c>
      <c r="H87">
        <f>IF(SUMPRODUCT(('alle Dateien'!B:B=Bohrungen!B87)*('alle Dateien'!D:D="las"))&gt;0,1,0)</f>
        <v>0</v>
      </c>
      <c r="I87">
        <f>IF(SUMPRODUCT(('alle Dateien'!B:B=Bohrungen!B87)*('alle Dateien'!D:D="db"))&gt;0,1,0)</f>
        <v>0</v>
      </c>
      <c r="J87">
        <f>IF(SUMPRODUCT(('alle Dateien'!B:B=Bohrungen!B87)*('alle Dateien'!D:D="rhistory"))&gt;0,1,0)</f>
        <v>0</v>
      </c>
      <c r="K87">
        <f>IF(SUMPRODUCT(('alle Dateien'!B:B=Bohrungen!B87)*('alle Dateien'!D:D="mdb"))&gt;0,1,0)</f>
        <v>0</v>
      </c>
      <c r="L87">
        <f>IF(SUMPRODUCT(('alle Dateien'!B:B=Bohrungen!B87)*('alle Dateien'!D:D="xml"))&gt;0,1,0)</f>
        <v>0</v>
      </c>
      <c r="M87">
        <f>IF(SUMPRODUCT(('alle Dateien'!B:B=Bohrungen!B87)*('alle Dateien'!D:D="jpg"))&gt;0,1,0)</f>
        <v>0</v>
      </c>
      <c r="N87">
        <f>IF(SUMPRODUCT(('alle Dateien'!B:B=Bohrungen!B87)*('alle Dateien'!D:D="png"))&gt;0,1,0)</f>
        <v>0</v>
      </c>
      <c r="O87">
        <f>IF(SUMPRODUCT(('alle Dateien'!B:B=Bohrungen!B87)*('alle Dateien'!D:D="xls"))&gt;0,1,0)</f>
        <v>0</v>
      </c>
      <c r="P87">
        <f>IF(SUMPRODUCT(('alle Dateien'!B:B=Bohrungen!B87)*('alle Dateien'!D:D="txt"))&gt;0,1,0)</f>
        <v>0</v>
      </c>
      <c r="Q87">
        <f>IF(SUMPRODUCT(('alle Dateien'!B:B=Bohrungen!B87)*('alle Dateien'!D:D="ZIP oder R"))&gt;0,1,0)</f>
        <v>0</v>
      </c>
      <c r="R87">
        <f>IF(SUMPRODUCT(('alle Dateien'!B:B=Bohrungen!B87)*('alle Dateien'!D:D="tsf"))&gt;0,1,0)</f>
        <v>0</v>
      </c>
      <c r="S87">
        <f>IF(SUMPRODUCT(('alle Dateien'!B:B=Bohrungen!B87)*('alle Dateien'!D:D="sch"))&gt;0,1,0)</f>
        <v>0</v>
      </c>
      <c r="U87" t="str">
        <f t="shared" si="2"/>
        <v>10000000000000000</v>
      </c>
      <c r="V87" t="str">
        <f>VLOOKUP(U87,Kategorie!B:C,2,FALSE)</f>
        <v>pdf</v>
      </c>
    </row>
    <row r="88" spans="1:22" x14ac:dyDescent="0.25">
      <c r="A88">
        <v>87</v>
      </c>
      <c r="B88" t="s">
        <v>2173</v>
      </c>
      <c r="C88" s="2">
        <f>IF(SUMPRODUCT(('alle Dateien'!B:B=Bohrungen!B88)*('alle Dateien'!D:D="pdf"))&gt;0,1,0)</f>
        <v>1</v>
      </c>
      <c r="D88">
        <f>IF(SUMPRODUCT(('alle Dateien'!B:B=Bohrungen!B88)*('alle Dateien'!D:D="tif"))&gt;0,1,0)</f>
        <v>0</v>
      </c>
      <c r="E88">
        <f>IF(SUMPRODUCT(('alle Dateien'!B:B=Bohrungen!B88)*('alle Dateien'!D:D="sdg"))&gt;0,1,0)</f>
        <v>0</v>
      </c>
      <c r="F88">
        <f>IF(SUMPRODUCT(('alle Dateien'!B:B=Bohrungen!B88)*('alle Dateien'!D:D="xlsx"))&gt;0,1,0)</f>
        <v>0</v>
      </c>
      <c r="G88">
        <f>IF(SUMPRODUCT(('alle Dateien'!B:B=Bohrungen!B88)*('alle Dateien'!D:D="docx"))&gt;0,1,0)</f>
        <v>0</v>
      </c>
      <c r="H88">
        <f>IF(SUMPRODUCT(('alle Dateien'!B:B=Bohrungen!B88)*('alle Dateien'!D:D="las"))&gt;0,1,0)</f>
        <v>0</v>
      </c>
      <c r="I88">
        <f>IF(SUMPRODUCT(('alle Dateien'!B:B=Bohrungen!B88)*('alle Dateien'!D:D="db"))&gt;0,1,0)</f>
        <v>0</v>
      </c>
      <c r="J88">
        <f>IF(SUMPRODUCT(('alle Dateien'!B:B=Bohrungen!B88)*('alle Dateien'!D:D="rhistory"))&gt;0,1,0)</f>
        <v>0</v>
      </c>
      <c r="K88">
        <f>IF(SUMPRODUCT(('alle Dateien'!B:B=Bohrungen!B88)*('alle Dateien'!D:D="mdb"))&gt;0,1,0)</f>
        <v>0</v>
      </c>
      <c r="L88">
        <f>IF(SUMPRODUCT(('alle Dateien'!B:B=Bohrungen!B88)*('alle Dateien'!D:D="xml"))&gt;0,1,0)</f>
        <v>0</v>
      </c>
      <c r="M88">
        <f>IF(SUMPRODUCT(('alle Dateien'!B:B=Bohrungen!B88)*('alle Dateien'!D:D="jpg"))&gt;0,1,0)</f>
        <v>0</v>
      </c>
      <c r="N88">
        <f>IF(SUMPRODUCT(('alle Dateien'!B:B=Bohrungen!B88)*('alle Dateien'!D:D="png"))&gt;0,1,0)</f>
        <v>0</v>
      </c>
      <c r="O88">
        <f>IF(SUMPRODUCT(('alle Dateien'!B:B=Bohrungen!B88)*('alle Dateien'!D:D="xls"))&gt;0,1,0)</f>
        <v>0</v>
      </c>
      <c r="P88">
        <f>IF(SUMPRODUCT(('alle Dateien'!B:B=Bohrungen!B88)*('alle Dateien'!D:D="txt"))&gt;0,1,0)</f>
        <v>0</v>
      </c>
      <c r="Q88">
        <f>IF(SUMPRODUCT(('alle Dateien'!B:B=Bohrungen!B88)*('alle Dateien'!D:D="ZIP oder R"))&gt;0,1,0)</f>
        <v>0</v>
      </c>
      <c r="R88">
        <f>IF(SUMPRODUCT(('alle Dateien'!B:B=Bohrungen!B88)*('alle Dateien'!D:D="tsf"))&gt;0,1,0)</f>
        <v>0</v>
      </c>
      <c r="S88">
        <f>IF(SUMPRODUCT(('alle Dateien'!B:B=Bohrungen!B88)*('alle Dateien'!D:D="sch"))&gt;0,1,0)</f>
        <v>0</v>
      </c>
      <c r="U88" t="str">
        <f t="shared" si="2"/>
        <v>10000000000000000</v>
      </c>
      <c r="V88" t="str">
        <f>VLOOKUP(U88,Kategorie!B:C,2,FALSE)</f>
        <v>pdf</v>
      </c>
    </row>
    <row r="89" spans="1:22" x14ac:dyDescent="0.25">
      <c r="A89">
        <v>88</v>
      </c>
      <c r="B89" t="s">
        <v>2174</v>
      </c>
      <c r="C89" s="2">
        <f>IF(SUMPRODUCT(('alle Dateien'!B:B=Bohrungen!B89)*('alle Dateien'!D:D="pdf"))&gt;0,1,0)</f>
        <v>1</v>
      </c>
      <c r="D89">
        <f>IF(SUMPRODUCT(('alle Dateien'!B:B=Bohrungen!B89)*('alle Dateien'!D:D="tif"))&gt;0,1,0)</f>
        <v>0</v>
      </c>
      <c r="E89">
        <f>IF(SUMPRODUCT(('alle Dateien'!B:B=Bohrungen!B89)*('alle Dateien'!D:D="sdg"))&gt;0,1,0)</f>
        <v>0</v>
      </c>
      <c r="F89">
        <f>IF(SUMPRODUCT(('alle Dateien'!B:B=Bohrungen!B89)*('alle Dateien'!D:D="xlsx"))&gt;0,1,0)</f>
        <v>0</v>
      </c>
      <c r="G89">
        <f>IF(SUMPRODUCT(('alle Dateien'!B:B=Bohrungen!B89)*('alle Dateien'!D:D="docx"))&gt;0,1,0)</f>
        <v>0</v>
      </c>
      <c r="H89">
        <f>IF(SUMPRODUCT(('alle Dateien'!B:B=Bohrungen!B89)*('alle Dateien'!D:D="las"))&gt;0,1,0)</f>
        <v>0</v>
      </c>
      <c r="I89">
        <f>IF(SUMPRODUCT(('alle Dateien'!B:B=Bohrungen!B89)*('alle Dateien'!D:D="db"))&gt;0,1,0)</f>
        <v>0</v>
      </c>
      <c r="J89">
        <f>IF(SUMPRODUCT(('alle Dateien'!B:B=Bohrungen!B89)*('alle Dateien'!D:D="rhistory"))&gt;0,1,0)</f>
        <v>0</v>
      </c>
      <c r="K89">
        <f>IF(SUMPRODUCT(('alle Dateien'!B:B=Bohrungen!B89)*('alle Dateien'!D:D="mdb"))&gt;0,1,0)</f>
        <v>0</v>
      </c>
      <c r="L89">
        <f>IF(SUMPRODUCT(('alle Dateien'!B:B=Bohrungen!B89)*('alle Dateien'!D:D="xml"))&gt;0,1,0)</f>
        <v>0</v>
      </c>
      <c r="M89">
        <f>IF(SUMPRODUCT(('alle Dateien'!B:B=Bohrungen!B89)*('alle Dateien'!D:D="jpg"))&gt;0,1,0)</f>
        <v>0</v>
      </c>
      <c r="N89">
        <f>IF(SUMPRODUCT(('alle Dateien'!B:B=Bohrungen!B89)*('alle Dateien'!D:D="png"))&gt;0,1,0)</f>
        <v>0</v>
      </c>
      <c r="O89">
        <f>IF(SUMPRODUCT(('alle Dateien'!B:B=Bohrungen!B89)*('alle Dateien'!D:D="xls"))&gt;0,1,0)</f>
        <v>0</v>
      </c>
      <c r="P89">
        <f>IF(SUMPRODUCT(('alle Dateien'!B:B=Bohrungen!B89)*('alle Dateien'!D:D="txt"))&gt;0,1,0)</f>
        <v>0</v>
      </c>
      <c r="Q89">
        <f>IF(SUMPRODUCT(('alle Dateien'!B:B=Bohrungen!B89)*('alle Dateien'!D:D="ZIP oder R"))&gt;0,1,0)</f>
        <v>0</v>
      </c>
      <c r="R89">
        <f>IF(SUMPRODUCT(('alle Dateien'!B:B=Bohrungen!B89)*('alle Dateien'!D:D="tsf"))&gt;0,1,0)</f>
        <v>0</v>
      </c>
      <c r="S89">
        <f>IF(SUMPRODUCT(('alle Dateien'!B:B=Bohrungen!B89)*('alle Dateien'!D:D="sch"))&gt;0,1,0)</f>
        <v>0</v>
      </c>
      <c r="U89" t="str">
        <f t="shared" si="2"/>
        <v>10000000000000000</v>
      </c>
      <c r="V89" t="str">
        <f>VLOOKUP(U89,Kategorie!B:C,2,FALSE)</f>
        <v>pdf</v>
      </c>
    </row>
    <row r="90" spans="1:22" x14ac:dyDescent="0.25">
      <c r="A90">
        <v>89</v>
      </c>
      <c r="B90" t="s">
        <v>2175</v>
      </c>
      <c r="C90" s="2">
        <f>IF(SUMPRODUCT(('alle Dateien'!B:B=Bohrungen!B90)*('alle Dateien'!D:D="pdf"))&gt;0,1,0)</f>
        <v>1</v>
      </c>
      <c r="D90">
        <f>IF(SUMPRODUCT(('alle Dateien'!B:B=Bohrungen!B90)*('alle Dateien'!D:D="tif"))&gt;0,1,0)</f>
        <v>0</v>
      </c>
      <c r="E90">
        <f>IF(SUMPRODUCT(('alle Dateien'!B:B=Bohrungen!B90)*('alle Dateien'!D:D="sdg"))&gt;0,1,0)</f>
        <v>1</v>
      </c>
      <c r="F90">
        <f>IF(SUMPRODUCT(('alle Dateien'!B:B=Bohrungen!B90)*('alle Dateien'!D:D="xlsx"))&gt;0,1,0)</f>
        <v>1</v>
      </c>
      <c r="G90">
        <f>IF(SUMPRODUCT(('alle Dateien'!B:B=Bohrungen!B90)*('alle Dateien'!D:D="docx"))&gt;0,1,0)</f>
        <v>0</v>
      </c>
      <c r="H90">
        <f>IF(SUMPRODUCT(('alle Dateien'!B:B=Bohrungen!B90)*('alle Dateien'!D:D="las"))&gt;0,1,0)</f>
        <v>1</v>
      </c>
      <c r="I90">
        <f>IF(SUMPRODUCT(('alle Dateien'!B:B=Bohrungen!B90)*('alle Dateien'!D:D="db"))&gt;0,1,0)</f>
        <v>0</v>
      </c>
      <c r="J90">
        <f>IF(SUMPRODUCT(('alle Dateien'!B:B=Bohrungen!B90)*('alle Dateien'!D:D="rhistory"))&gt;0,1,0)</f>
        <v>0</v>
      </c>
      <c r="K90">
        <f>IF(SUMPRODUCT(('alle Dateien'!B:B=Bohrungen!B90)*('alle Dateien'!D:D="mdb"))&gt;0,1,0)</f>
        <v>0</v>
      </c>
      <c r="L90">
        <f>IF(SUMPRODUCT(('alle Dateien'!B:B=Bohrungen!B90)*('alle Dateien'!D:D="xml"))&gt;0,1,0)</f>
        <v>0</v>
      </c>
      <c r="M90">
        <f>IF(SUMPRODUCT(('alle Dateien'!B:B=Bohrungen!B90)*('alle Dateien'!D:D="jpg"))&gt;0,1,0)</f>
        <v>0</v>
      </c>
      <c r="N90">
        <f>IF(SUMPRODUCT(('alle Dateien'!B:B=Bohrungen!B90)*('alle Dateien'!D:D="png"))&gt;0,1,0)</f>
        <v>0</v>
      </c>
      <c r="O90">
        <f>IF(SUMPRODUCT(('alle Dateien'!B:B=Bohrungen!B90)*('alle Dateien'!D:D="xls"))&gt;0,1,0)</f>
        <v>0</v>
      </c>
      <c r="P90">
        <f>IF(SUMPRODUCT(('alle Dateien'!B:B=Bohrungen!B90)*('alle Dateien'!D:D="txt"))&gt;0,1,0)</f>
        <v>0</v>
      </c>
      <c r="Q90">
        <f>IF(SUMPRODUCT(('alle Dateien'!B:B=Bohrungen!B90)*('alle Dateien'!D:D="ZIP oder R"))&gt;0,1,0)</f>
        <v>0</v>
      </c>
      <c r="R90">
        <f>IF(SUMPRODUCT(('alle Dateien'!B:B=Bohrungen!B90)*('alle Dateien'!D:D="tsf"))&gt;0,1,0)</f>
        <v>0</v>
      </c>
      <c r="S90">
        <f>IF(SUMPRODUCT(('alle Dateien'!B:B=Bohrungen!B90)*('alle Dateien'!D:D="sch"))&gt;0,1,0)</f>
        <v>0</v>
      </c>
      <c r="U90" t="str">
        <f t="shared" si="2"/>
        <v>10110100000000000</v>
      </c>
      <c r="V90" t="str">
        <f>VLOOKUP(U90,Kategorie!B:C,2,FALSE)</f>
        <v>pdf/ sdg/ xlsx/ las</v>
      </c>
    </row>
    <row r="91" spans="1:22" x14ac:dyDescent="0.25">
      <c r="A91">
        <v>90</v>
      </c>
      <c r="B91" t="s">
        <v>2176</v>
      </c>
      <c r="C91" s="2">
        <f>IF(SUMPRODUCT(('alle Dateien'!B:B=Bohrungen!B91)*('alle Dateien'!D:D="pdf"))&gt;0,1,0)</f>
        <v>1</v>
      </c>
      <c r="D91">
        <f>IF(SUMPRODUCT(('alle Dateien'!B:B=Bohrungen!B91)*('alle Dateien'!D:D="tif"))&gt;0,1,0)</f>
        <v>0</v>
      </c>
      <c r="E91">
        <f>IF(SUMPRODUCT(('alle Dateien'!B:B=Bohrungen!B91)*('alle Dateien'!D:D="sdg"))&gt;0,1,0)</f>
        <v>0</v>
      </c>
      <c r="F91">
        <f>IF(SUMPRODUCT(('alle Dateien'!B:B=Bohrungen!B91)*('alle Dateien'!D:D="xlsx"))&gt;0,1,0)</f>
        <v>0</v>
      </c>
      <c r="G91">
        <f>IF(SUMPRODUCT(('alle Dateien'!B:B=Bohrungen!B91)*('alle Dateien'!D:D="docx"))&gt;0,1,0)</f>
        <v>0</v>
      </c>
      <c r="H91">
        <f>IF(SUMPRODUCT(('alle Dateien'!B:B=Bohrungen!B91)*('alle Dateien'!D:D="las"))&gt;0,1,0)</f>
        <v>0</v>
      </c>
      <c r="I91">
        <f>IF(SUMPRODUCT(('alle Dateien'!B:B=Bohrungen!B91)*('alle Dateien'!D:D="db"))&gt;0,1,0)</f>
        <v>0</v>
      </c>
      <c r="J91">
        <f>IF(SUMPRODUCT(('alle Dateien'!B:B=Bohrungen!B91)*('alle Dateien'!D:D="rhistory"))&gt;0,1,0)</f>
        <v>0</v>
      </c>
      <c r="K91">
        <f>IF(SUMPRODUCT(('alle Dateien'!B:B=Bohrungen!B91)*('alle Dateien'!D:D="mdb"))&gt;0,1,0)</f>
        <v>0</v>
      </c>
      <c r="L91">
        <f>IF(SUMPRODUCT(('alle Dateien'!B:B=Bohrungen!B91)*('alle Dateien'!D:D="xml"))&gt;0,1,0)</f>
        <v>0</v>
      </c>
      <c r="M91">
        <f>IF(SUMPRODUCT(('alle Dateien'!B:B=Bohrungen!B91)*('alle Dateien'!D:D="jpg"))&gt;0,1,0)</f>
        <v>0</v>
      </c>
      <c r="N91">
        <f>IF(SUMPRODUCT(('alle Dateien'!B:B=Bohrungen!B91)*('alle Dateien'!D:D="png"))&gt;0,1,0)</f>
        <v>0</v>
      </c>
      <c r="O91">
        <f>IF(SUMPRODUCT(('alle Dateien'!B:B=Bohrungen!B91)*('alle Dateien'!D:D="xls"))&gt;0,1,0)</f>
        <v>0</v>
      </c>
      <c r="P91">
        <f>IF(SUMPRODUCT(('alle Dateien'!B:B=Bohrungen!B91)*('alle Dateien'!D:D="txt"))&gt;0,1,0)</f>
        <v>0</v>
      </c>
      <c r="Q91">
        <f>IF(SUMPRODUCT(('alle Dateien'!B:B=Bohrungen!B91)*('alle Dateien'!D:D="ZIP oder R"))&gt;0,1,0)</f>
        <v>0</v>
      </c>
      <c r="R91">
        <f>IF(SUMPRODUCT(('alle Dateien'!B:B=Bohrungen!B91)*('alle Dateien'!D:D="tsf"))&gt;0,1,0)</f>
        <v>0</v>
      </c>
      <c r="S91">
        <f>IF(SUMPRODUCT(('alle Dateien'!B:B=Bohrungen!B91)*('alle Dateien'!D:D="sch"))&gt;0,1,0)</f>
        <v>0</v>
      </c>
      <c r="U91" t="str">
        <f t="shared" si="2"/>
        <v>10000000000000000</v>
      </c>
      <c r="V91" t="str">
        <f>VLOOKUP(U91,Kategorie!B:C,2,FALSE)</f>
        <v>pdf</v>
      </c>
    </row>
    <row r="92" spans="1:22" x14ac:dyDescent="0.25">
      <c r="A92">
        <v>91</v>
      </c>
      <c r="B92" t="s">
        <v>2177</v>
      </c>
      <c r="C92" s="2">
        <f>IF(SUMPRODUCT(('alle Dateien'!B:B=Bohrungen!B92)*('alle Dateien'!D:D="pdf"))&gt;0,1,0)</f>
        <v>1</v>
      </c>
      <c r="D92">
        <f>IF(SUMPRODUCT(('alle Dateien'!B:B=Bohrungen!B92)*('alle Dateien'!D:D="tif"))&gt;0,1,0)</f>
        <v>0</v>
      </c>
      <c r="E92">
        <f>IF(SUMPRODUCT(('alle Dateien'!B:B=Bohrungen!B92)*('alle Dateien'!D:D="sdg"))&gt;0,1,0)</f>
        <v>0</v>
      </c>
      <c r="F92">
        <f>IF(SUMPRODUCT(('alle Dateien'!B:B=Bohrungen!B92)*('alle Dateien'!D:D="xlsx"))&gt;0,1,0)</f>
        <v>0</v>
      </c>
      <c r="G92">
        <f>IF(SUMPRODUCT(('alle Dateien'!B:B=Bohrungen!B92)*('alle Dateien'!D:D="docx"))&gt;0,1,0)</f>
        <v>0</v>
      </c>
      <c r="H92">
        <f>IF(SUMPRODUCT(('alle Dateien'!B:B=Bohrungen!B92)*('alle Dateien'!D:D="las"))&gt;0,1,0)</f>
        <v>0</v>
      </c>
      <c r="I92">
        <f>IF(SUMPRODUCT(('alle Dateien'!B:B=Bohrungen!B92)*('alle Dateien'!D:D="db"))&gt;0,1,0)</f>
        <v>0</v>
      </c>
      <c r="J92">
        <f>IF(SUMPRODUCT(('alle Dateien'!B:B=Bohrungen!B92)*('alle Dateien'!D:D="rhistory"))&gt;0,1,0)</f>
        <v>0</v>
      </c>
      <c r="K92">
        <f>IF(SUMPRODUCT(('alle Dateien'!B:B=Bohrungen!B92)*('alle Dateien'!D:D="mdb"))&gt;0,1,0)</f>
        <v>0</v>
      </c>
      <c r="L92">
        <f>IF(SUMPRODUCT(('alle Dateien'!B:B=Bohrungen!B92)*('alle Dateien'!D:D="xml"))&gt;0,1,0)</f>
        <v>0</v>
      </c>
      <c r="M92">
        <f>IF(SUMPRODUCT(('alle Dateien'!B:B=Bohrungen!B92)*('alle Dateien'!D:D="jpg"))&gt;0,1,0)</f>
        <v>0</v>
      </c>
      <c r="N92">
        <f>IF(SUMPRODUCT(('alle Dateien'!B:B=Bohrungen!B92)*('alle Dateien'!D:D="png"))&gt;0,1,0)</f>
        <v>0</v>
      </c>
      <c r="O92">
        <f>IF(SUMPRODUCT(('alle Dateien'!B:B=Bohrungen!B92)*('alle Dateien'!D:D="xls"))&gt;0,1,0)</f>
        <v>0</v>
      </c>
      <c r="P92">
        <f>IF(SUMPRODUCT(('alle Dateien'!B:B=Bohrungen!B92)*('alle Dateien'!D:D="txt"))&gt;0,1,0)</f>
        <v>0</v>
      </c>
      <c r="Q92">
        <f>IF(SUMPRODUCT(('alle Dateien'!B:B=Bohrungen!B92)*('alle Dateien'!D:D="ZIP oder R"))&gt;0,1,0)</f>
        <v>0</v>
      </c>
      <c r="R92">
        <f>IF(SUMPRODUCT(('alle Dateien'!B:B=Bohrungen!B92)*('alle Dateien'!D:D="tsf"))&gt;0,1,0)</f>
        <v>0</v>
      </c>
      <c r="S92">
        <f>IF(SUMPRODUCT(('alle Dateien'!B:B=Bohrungen!B92)*('alle Dateien'!D:D="sch"))&gt;0,1,0)</f>
        <v>0</v>
      </c>
      <c r="U92" t="str">
        <f t="shared" si="2"/>
        <v>10000000000000000</v>
      </c>
      <c r="V92" t="str">
        <f>VLOOKUP(U92,Kategorie!B:C,2,FALSE)</f>
        <v>pdf</v>
      </c>
    </row>
    <row r="93" spans="1:22" x14ac:dyDescent="0.25">
      <c r="A93">
        <v>92</v>
      </c>
      <c r="B93" t="s">
        <v>2178</v>
      </c>
      <c r="C93" s="2">
        <f>IF(SUMPRODUCT(('alle Dateien'!B:B=Bohrungen!B93)*('alle Dateien'!D:D="pdf"))&gt;0,1,0)</f>
        <v>0</v>
      </c>
      <c r="D93">
        <f>IF(SUMPRODUCT(('alle Dateien'!B:B=Bohrungen!B93)*('alle Dateien'!D:D="tif"))&gt;0,1,0)</f>
        <v>0</v>
      </c>
      <c r="E93">
        <f>IF(SUMPRODUCT(('alle Dateien'!B:B=Bohrungen!B93)*('alle Dateien'!D:D="sdg"))&gt;0,1,0)</f>
        <v>1</v>
      </c>
      <c r="F93">
        <f>IF(SUMPRODUCT(('alle Dateien'!B:B=Bohrungen!B93)*('alle Dateien'!D:D="xlsx"))&gt;0,1,0)</f>
        <v>1</v>
      </c>
      <c r="G93">
        <f>IF(SUMPRODUCT(('alle Dateien'!B:B=Bohrungen!B93)*('alle Dateien'!D:D="docx"))&gt;0,1,0)</f>
        <v>0</v>
      </c>
      <c r="H93">
        <f>IF(SUMPRODUCT(('alle Dateien'!B:B=Bohrungen!B93)*('alle Dateien'!D:D="las"))&gt;0,1,0)</f>
        <v>1</v>
      </c>
      <c r="I93">
        <f>IF(SUMPRODUCT(('alle Dateien'!B:B=Bohrungen!B93)*('alle Dateien'!D:D="db"))&gt;0,1,0)</f>
        <v>0</v>
      </c>
      <c r="J93">
        <f>IF(SUMPRODUCT(('alle Dateien'!B:B=Bohrungen!B93)*('alle Dateien'!D:D="rhistory"))&gt;0,1,0)</f>
        <v>0</v>
      </c>
      <c r="K93">
        <f>IF(SUMPRODUCT(('alle Dateien'!B:B=Bohrungen!B93)*('alle Dateien'!D:D="mdb"))&gt;0,1,0)</f>
        <v>0</v>
      </c>
      <c r="L93">
        <f>IF(SUMPRODUCT(('alle Dateien'!B:B=Bohrungen!B93)*('alle Dateien'!D:D="xml"))&gt;0,1,0)</f>
        <v>0</v>
      </c>
      <c r="M93">
        <f>IF(SUMPRODUCT(('alle Dateien'!B:B=Bohrungen!B93)*('alle Dateien'!D:D="jpg"))&gt;0,1,0)</f>
        <v>0</v>
      </c>
      <c r="N93">
        <f>IF(SUMPRODUCT(('alle Dateien'!B:B=Bohrungen!B93)*('alle Dateien'!D:D="png"))&gt;0,1,0)</f>
        <v>0</v>
      </c>
      <c r="O93">
        <f>IF(SUMPRODUCT(('alle Dateien'!B:B=Bohrungen!B93)*('alle Dateien'!D:D="xls"))&gt;0,1,0)</f>
        <v>0</v>
      </c>
      <c r="P93">
        <f>IF(SUMPRODUCT(('alle Dateien'!B:B=Bohrungen!B93)*('alle Dateien'!D:D="txt"))&gt;0,1,0)</f>
        <v>0</v>
      </c>
      <c r="Q93">
        <f>IF(SUMPRODUCT(('alle Dateien'!B:B=Bohrungen!B93)*('alle Dateien'!D:D="ZIP oder R"))&gt;0,1,0)</f>
        <v>0</v>
      </c>
      <c r="R93">
        <f>IF(SUMPRODUCT(('alle Dateien'!B:B=Bohrungen!B93)*('alle Dateien'!D:D="tsf"))&gt;0,1,0)</f>
        <v>0</v>
      </c>
      <c r="S93">
        <f>IF(SUMPRODUCT(('alle Dateien'!B:B=Bohrungen!B93)*('alle Dateien'!D:D="sch"))&gt;0,1,0)</f>
        <v>0</v>
      </c>
      <c r="U93" t="str">
        <f t="shared" si="2"/>
        <v>00110100000000000</v>
      </c>
      <c r="V93" t="str">
        <f>VLOOKUP(U93,Kategorie!B:C,2,FALSE)</f>
        <v>sdg/ xlsx/ las</v>
      </c>
    </row>
    <row r="94" spans="1:22" x14ac:dyDescent="0.25">
      <c r="A94">
        <v>93</v>
      </c>
      <c r="B94" t="s">
        <v>2179</v>
      </c>
      <c r="C94" s="2">
        <f>IF(SUMPRODUCT(('alle Dateien'!B:B=Bohrungen!B94)*('alle Dateien'!D:D="pdf"))&gt;0,1,0)</f>
        <v>1</v>
      </c>
      <c r="D94">
        <f>IF(SUMPRODUCT(('alle Dateien'!B:B=Bohrungen!B94)*('alle Dateien'!D:D="tif"))&gt;0,1,0)</f>
        <v>0</v>
      </c>
      <c r="E94">
        <f>IF(SUMPRODUCT(('alle Dateien'!B:B=Bohrungen!B94)*('alle Dateien'!D:D="sdg"))&gt;0,1,0)</f>
        <v>1</v>
      </c>
      <c r="F94">
        <f>IF(SUMPRODUCT(('alle Dateien'!B:B=Bohrungen!B94)*('alle Dateien'!D:D="xlsx"))&gt;0,1,0)</f>
        <v>1</v>
      </c>
      <c r="G94">
        <f>IF(SUMPRODUCT(('alle Dateien'!B:B=Bohrungen!B94)*('alle Dateien'!D:D="docx"))&gt;0,1,0)</f>
        <v>0</v>
      </c>
      <c r="H94">
        <f>IF(SUMPRODUCT(('alle Dateien'!B:B=Bohrungen!B94)*('alle Dateien'!D:D="las"))&gt;0,1,0)</f>
        <v>1</v>
      </c>
      <c r="I94">
        <f>IF(SUMPRODUCT(('alle Dateien'!B:B=Bohrungen!B94)*('alle Dateien'!D:D="db"))&gt;0,1,0)</f>
        <v>0</v>
      </c>
      <c r="J94">
        <f>IF(SUMPRODUCT(('alle Dateien'!B:B=Bohrungen!B94)*('alle Dateien'!D:D="rhistory"))&gt;0,1,0)</f>
        <v>0</v>
      </c>
      <c r="K94">
        <f>IF(SUMPRODUCT(('alle Dateien'!B:B=Bohrungen!B94)*('alle Dateien'!D:D="mdb"))&gt;0,1,0)</f>
        <v>0</v>
      </c>
      <c r="L94">
        <f>IF(SUMPRODUCT(('alle Dateien'!B:B=Bohrungen!B94)*('alle Dateien'!D:D="xml"))&gt;0,1,0)</f>
        <v>0</v>
      </c>
      <c r="M94">
        <f>IF(SUMPRODUCT(('alle Dateien'!B:B=Bohrungen!B94)*('alle Dateien'!D:D="jpg"))&gt;0,1,0)</f>
        <v>0</v>
      </c>
      <c r="N94">
        <f>IF(SUMPRODUCT(('alle Dateien'!B:B=Bohrungen!B94)*('alle Dateien'!D:D="png"))&gt;0,1,0)</f>
        <v>0</v>
      </c>
      <c r="O94">
        <f>IF(SUMPRODUCT(('alle Dateien'!B:B=Bohrungen!B94)*('alle Dateien'!D:D="xls"))&gt;0,1,0)</f>
        <v>0</v>
      </c>
      <c r="P94">
        <f>IF(SUMPRODUCT(('alle Dateien'!B:B=Bohrungen!B94)*('alle Dateien'!D:D="txt"))&gt;0,1,0)</f>
        <v>0</v>
      </c>
      <c r="Q94">
        <f>IF(SUMPRODUCT(('alle Dateien'!B:B=Bohrungen!B94)*('alle Dateien'!D:D="ZIP oder R"))&gt;0,1,0)</f>
        <v>0</v>
      </c>
      <c r="R94">
        <f>IF(SUMPRODUCT(('alle Dateien'!B:B=Bohrungen!B94)*('alle Dateien'!D:D="tsf"))&gt;0,1,0)</f>
        <v>0</v>
      </c>
      <c r="S94">
        <f>IF(SUMPRODUCT(('alle Dateien'!B:B=Bohrungen!B94)*('alle Dateien'!D:D="sch"))&gt;0,1,0)</f>
        <v>0</v>
      </c>
      <c r="U94" t="str">
        <f t="shared" si="2"/>
        <v>10110100000000000</v>
      </c>
      <c r="V94" t="str">
        <f>VLOOKUP(U94,Kategorie!B:C,2,FALSE)</f>
        <v>pdf/ sdg/ xlsx/ las</v>
      </c>
    </row>
    <row r="95" spans="1:22" x14ac:dyDescent="0.25">
      <c r="A95">
        <v>94</v>
      </c>
      <c r="B95" t="s">
        <v>2180</v>
      </c>
      <c r="C95" s="2">
        <f>IF(SUMPRODUCT(('alle Dateien'!B:B=Bohrungen!B95)*('alle Dateien'!D:D="pdf"))&gt;0,1,0)</f>
        <v>1</v>
      </c>
      <c r="D95">
        <f>IF(SUMPRODUCT(('alle Dateien'!B:B=Bohrungen!B95)*('alle Dateien'!D:D="tif"))&gt;0,1,0)</f>
        <v>0</v>
      </c>
      <c r="E95">
        <f>IF(SUMPRODUCT(('alle Dateien'!B:B=Bohrungen!B95)*('alle Dateien'!D:D="sdg"))&gt;0,1,0)</f>
        <v>1</v>
      </c>
      <c r="F95">
        <f>IF(SUMPRODUCT(('alle Dateien'!B:B=Bohrungen!B95)*('alle Dateien'!D:D="xlsx"))&gt;0,1,0)</f>
        <v>1</v>
      </c>
      <c r="G95">
        <f>IF(SUMPRODUCT(('alle Dateien'!B:B=Bohrungen!B95)*('alle Dateien'!D:D="docx"))&gt;0,1,0)</f>
        <v>0</v>
      </c>
      <c r="H95">
        <f>IF(SUMPRODUCT(('alle Dateien'!B:B=Bohrungen!B95)*('alle Dateien'!D:D="las"))&gt;0,1,0)</f>
        <v>1</v>
      </c>
      <c r="I95">
        <f>IF(SUMPRODUCT(('alle Dateien'!B:B=Bohrungen!B95)*('alle Dateien'!D:D="db"))&gt;0,1,0)</f>
        <v>0</v>
      </c>
      <c r="J95">
        <f>IF(SUMPRODUCT(('alle Dateien'!B:B=Bohrungen!B95)*('alle Dateien'!D:D="rhistory"))&gt;0,1,0)</f>
        <v>0</v>
      </c>
      <c r="K95">
        <f>IF(SUMPRODUCT(('alle Dateien'!B:B=Bohrungen!B95)*('alle Dateien'!D:D="mdb"))&gt;0,1,0)</f>
        <v>0</v>
      </c>
      <c r="L95">
        <f>IF(SUMPRODUCT(('alle Dateien'!B:B=Bohrungen!B95)*('alle Dateien'!D:D="xml"))&gt;0,1,0)</f>
        <v>0</v>
      </c>
      <c r="M95">
        <f>IF(SUMPRODUCT(('alle Dateien'!B:B=Bohrungen!B95)*('alle Dateien'!D:D="jpg"))&gt;0,1,0)</f>
        <v>0</v>
      </c>
      <c r="N95">
        <f>IF(SUMPRODUCT(('alle Dateien'!B:B=Bohrungen!B95)*('alle Dateien'!D:D="png"))&gt;0,1,0)</f>
        <v>0</v>
      </c>
      <c r="O95">
        <f>IF(SUMPRODUCT(('alle Dateien'!B:B=Bohrungen!B95)*('alle Dateien'!D:D="xls"))&gt;0,1,0)</f>
        <v>0</v>
      </c>
      <c r="P95">
        <f>IF(SUMPRODUCT(('alle Dateien'!B:B=Bohrungen!B95)*('alle Dateien'!D:D="txt"))&gt;0,1,0)</f>
        <v>0</v>
      </c>
      <c r="Q95">
        <f>IF(SUMPRODUCT(('alle Dateien'!B:B=Bohrungen!B95)*('alle Dateien'!D:D="ZIP oder R"))&gt;0,1,0)</f>
        <v>0</v>
      </c>
      <c r="R95">
        <f>IF(SUMPRODUCT(('alle Dateien'!B:B=Bohrungen!B95)*('alle Dateien'!D:D="tsf"))&gt;0,1,0)</f>
        <v>0</v>
      </c>
      <c r="S95">
        <f>IF(SUMPRODUCT(('alle Dateien'!B:B=Bohrungen!B95)*('alle Dateien'!D:D="sch"))&gt;0,1,0)</f>
        <v>0</v>
      </c>
      <c r="U95" t="str">
        <f t="shared" si="2"/>
        <v>10110100000000000</v>
      </c>
      <c r="V95" t="str">
        <f>VLOOKUP(U95,Kategorie!B:C,2,FALSE)</f>
        <v>pdf/ sdg/ xlsx/ las</v>
      </c>
    </row>
    <row r="96" spans="1:22" x14ac:dyDescent="0.25">
      <c r="A96">
        <v>95</v>
      </c>
      <c r="B96" t="s">
        <v>2181</v>
      </c>
      <c r="C96" s="2">
        <f>IF(SUMPRODUCT(('alle Dateien'!B:B=Bohrungen!B96)*('alle Dateien'!D:D="pdf"))&gt;0,1,0)</f>
        <v>1</v>
      </c>
      <c r="D96">
        <f>IF(SUMPRODUCT(('alle Dateien'!B:B=Bohrungen!B96)*('alle Dateien'!D:D="tif"))&gt;0,1,0)</f>
        <v>0</v>
      </c>
      <c r="E96">
        <f>IF(SUMPRODUCT(('alle Dateien'!B:B=Bohrungen!B96)*('alle Dateien'!D:D="sdg"))&gt;0,1,0)</f>
        <v>0</v>
      </c>
      <c r="F96">
        <f>IF(SUMPRODUCT(('alle Dateien'!B:B=Bohrungen!B96)*('alle Dateien'!D:D="xlsx"))&gt;0,1,0)</f>
        <v>0</v>
      </c>
      <c r="G96">
        <f>IF(SUMPRODUCT(('alle Dateien'!B:B=Bohrungen!B96)*('alle Dateien'!D:D="docx"))&gt;0,1,0)</f>
        <v>0</v>
      </c>
      <c r="H96">
        <f>IF(SUMPRODUCT(('alle Dateien'!B:B=Bohrungen!B96)*('alle Dateien'!D:D="las"))&gt;0,1,0)</f>
        <v>0</v>
      </c>
      <c r="I96">
        <f>IF(SUMPRODUCT(('alle Dateien'!B:B=Bohrungen!B96)*('alle Dateien'!D:D="db"))&gt;0,1,0)</f>
        <v>0</v>
      </c>
      <c r="J96">
        <f>IF(SUMPRODUCT(('alle Dateien'!B:B=Bohrungen!B96)*('alle Dateien'!D:D="rhistory"))&gt;0,1,0)</f>
        <v>0</v>
      </c>
      <c r="K96">
        <f>IF(SUMPRODUCT(('alle Dateien'!B:B=Bohrungen!B96)*('alle Dateien'!D:D="mdb"))&gt;0,1,0)</f>
        <v>0</v>
      </c>
      <c r="L96">
        <f>IF(SUMPRODUCT(('alle Dateien'!B:B=Bohrungen!B96)*('alle Dateien'!D:D="xml"))&gt;0,1,0)</f>
        <v>0</v>
      </c>
      <c r="M96">
        <f>IF(SUMPRODUCT(('alle Dateien'!B:B=Bohrungen!B96)*('alle Dateien'!D:D="jpg"))&gt;0,1,0)</f>
        <v>0</v>
      </c>
      <c r="N96">
        <f>IF(SUMPRODUCT(('alle Dateien'!B:B=Bohrungen!B96)*('alle Dateien'!D:D="png"))&gt;0,1,0)</f>
        <v>0</v>
      </c>
      <c r="O96">
        <f>IF(SUMPRODUCT(('alle Dateien'!B:B=Bohrungen!B96)*('alle Dateien'!D:D="xls"))&gt;0,1,0)</f>
        <v>0</v>
      </c>
      <c r="P96">
        <f>IF(SUMPRODUCT(('alle Dateien'!B:B=Bohrungen!B96)*('alle Dateien'!D:D="txt"))&gt;0,1,0)</f>
        <v>0</v>
      </c>
      <c r="Q96">
        <f>IF(SUMPRODUCT(('alle Dateien'!B:B=Bohrungen!B96)*('alle Dateien'!D:D="ZIP oder R"))&gt;0,1,0)</f>
        <v>0</v>
      </c>
      <c r="R96">
        <f>IF(SUMPRODUCT(('alle Dateien'!B:B=Bohrungen!B96)*('alle Dateien'!D:D="tsf"))&gt;0,1,0)</f>
        <v>0</v>
      </c>
      <c r="S96">
        <f>IF(SUMPRODUCT(('alle Dateien'!B:B=Bohrungen!B96)*('alle Dateien'!D:D="sch"))&gt;0,1,0)</f>
        <v>0</v>
      </c>
      <c r="U96" t="str">
        <f t="shared" si="2"/>
        <v>10000000000000000</v>
      </c>
      <c r="V96" t="str">
        <f>VLOOKUP(U96,Kategorie!B:C,2,FALSE)</f>
        <v>pdf</v>
      </c>
    </row>
    <row r="97" spans="1:22" x14ac:dyDescent="0.25">
      <c r="A97">
        <v>96</v>
      </c>
      <c r="B97" t="s">
        <v>2182</v>
      </c>
      <c r="C97" s="2">
        <f>IF(SUMPRODUCT(('alle Dateien'!B:B=Bohrungen!B97)*('alle Dateien'!D:D="pdf"))&gt;0,1,0)</f>
        <v>1</v>
      </c>
      <c r="D97">
        <f>IF(SUMPRODUCT(('alle Dateien'!B:B=Bohrungen!B97)*('alle Dateien'!D:D="tif"))&gt;0,1,0)</f>
        <v>0</v>
      </c>
      <c r="E97">
        <f>IF(SUMPRODUCT(('alle Dateien'!B:B=Bohrungen!B97)*('alle Dateien'!D:D="sdg"))&gt;0,1,0)</f>
        <v>0</v>
      </c>
      <c r="F97">
        <f>IF(SUMPRODUCT(('alle Dateien'!B:B=Bohrungen!B97)*('alle Dateien'!D:D="xlsx"))&gt;0,1,0)</f>
        <v>0</v>
      </c>
      <c r="G97">
        <f>IF(SUMPRODUCT(('alle Dateien'!B:B=Bohrungen!B97)*('alle Dateien'!D:D="docx"))&gt;0,1,0)</f>
        <v>0</v>
      </c>
      <c r="H97">
        <f>IF(SUMPRODUCT(('alle Dateien'!B:B=Bohrungen!B97)*('alle Dateien'!D:D="las"))&gt;0,1,0)</f>
        <v>0</v>
      </c>
      <c r="I97">
        <f>IF(SUMPRODUCT(('alle Dateien'!B:B=Bohrungen!B97)*('alle Dateien'!D:D="db"))&gt;0,1,0)</f>
        <v>0</v>
      </c>
      <c r="J97">
        <f>IF(SUMPRODUCT(('alle Dateien'!B:B=Bohrungen!B97)*('alle Dateien'!D:D="rhistory"))&gt;0,1,0)</f>
        <v>0</v>
      </c>
      <c r="K97">
        <f>IF(SUMPRODUCT(('alle Dateien'!B:B=Bohrungen!B97)*('alle Dateien'!D:D="mdb"))&gt;0,1,0)</f>
        <v>0</v>
      </c>
      <c r="L97">
        <f>IF(SUMPRODUCT(('alle Dateien'!B:B=Bohrungen!B97)*('alle Dateien'!D:D="xml"))&gt;0,1,0)</f>
        <v>0</v>
      </c>
      <c r="M97">
        <f>IF(SUMPRODUCT(('alle Dateien'!B:B=Bohrungen!B97)*('alle Dateien'!D:D="jpg"))&gt;0,1,0)</f>
        <v>0</v>
      </c>
      <c r="N97">
        <f>IF(SUMPRODUCT(('alle Dateien'!B:B=Bohrungen!B97)*('alle Dateien'!D:D="png"))&gt;0,1,0)</f>
        <v>0</v>
      </c>
      <c r="O97">
        <f>IF(SUMPRODUCT(('alle Dateien'!B:B=Bohrungen!B97)*('alle Dateien'!D:D="xls"))&gt;0,1,0)</f>
        <v>0</v>
      </c>
      <c r="P97">
        <f>IF(SUMPRODUCT(('alle Dateien'!B:B=Bohrungen!B97)*('alle Dateien'!D:D="txt"))&gt;0,1,0)</f>
        <v>0</v>
      </c>
      <c r="Q97">
        <f>IF(SUMPRODUCT(('alle Dateien'!B:B=Bohrungen!B97)*('alle Dateien'!D:D="ZIP oder R"))&gt;0,1,0)</f>
        <v>0</v>
      </c>
      <c r="R97">
        <f>IF(SUMPRODUCT(('alle Dateien'!B:B=Bohrungen!B97)*('alle Dateien'!D:D="tsf"))&gt;0,1,0)</f>
        <v>0</v>
      </c>
      <c r="S97">
        <f>IF(SUMPRODUCT(('alle Dateien'!B:B=Bohrungen!B97)*('alle Dateien'!D:D="sch"))&gt;0,1,0)</f>
        <v>0</v>
      </c>
      <c r="U97" t="str">
        <f t="shared" si="2"/>
        <v>10000000000000000</v>
      </c>
      <c r="V97" t="str">
        <f>VLOOKUP(U97,Kategorie!B:C,2,FALSE)</f>
        <v>pdf</v>
      </c>
    </row>
    <row r="98" spans="1:22" x14ac:dyDescent="0.25">
      <c r="A98">
        <v>97</v>
      </c>
      <c r="B98" t="s">
        <v>2183</v>
      </c>
      <c r="C98" s="2">
        <f>IF(SUMPRODUCT(('alle Dateien'!B:B=Bohrungen!B98)*('alle Dateien'!D:D="pdf"))&gt;0,1,0)</f>
        <v>1</v>
      </c>
      <c r="D98">
        <f>IF(SUMPRODUCT(('alle Dateien'!B:B=Bohrungen!B98)*('alle Dateien'!D:D="tif"))&gt;0,1,0)</f>
        <v>0</v>
      </c>
      <c r="E98">
        <f>IF(SUMPRODUCT(('alle Dateien'!B:B=Bohrungen!B98)*('alle Dateien'!D:D="sdg"))&gt;0,1,0)</f>
        <v>0</v>
      </c>
      <c r="F98">
        <f>IF(SUMPRODUCT(('alle Dateien'!B:B=Bohrungen!B98)*('alle Dateien'!D:D="xlsx"))&gt;0,1,0)</f>
        <v>0</v>
      </c>
      <c r="G98">
        <f>IF(SUMPRODUCT(('alle Dateien'!B:B=Bohrungen!B98)*('alle Dateien'!D:D="docx"))&gt;0,1,0)</f>
        <v>0</v>
      </c>
      <c r="H98">
        <f>IF(SUMPRODUCT(('alle Dateien'!B:B=Bohrungen!B98)*('alle Dateien'!D:D="las"))&gt;0,1,0)</f>
        <v>0</v>
      </c>
      <c r="I98">
        <f>IF(SUMPRODUCT(('alle Dateien'!B:B=Bohrungen!B98)*('alle Dateien'!D:D="db"))&gt;0,1,0)</f>
        <v>0</v>
      </c>
      <c r="J98">
        <f>IF(SUMPRODUCT(('alle Dateien'!B:B=Bohrungen!B98)*('alle Dateien'!D:D="rhistory"))&gt;0,1,0)</f>
        <v>0</v>
      </c>
      <c r="K98">
        <f>IF(SUMPRODUCT(('alle Dateien'!B:B=Bohrungen!B98)*('alle Dateien'!D:D="mdb"))&gt;0,1,0)</f>
        <v>0</v>
      </c>
      <c r="L98">
        <f>IF(SUMPRODUCT(('alle Dateien'!B:B=Bohrungen!B98)*('alle Dateien'!D:D="xml"))&gt;0,1,0)</f>
        <v>0</v>
      </c>
      <c r="M98">
        <f>IF(SUMPRODUCT(('alle Dateien'!B:B=Bohrungen!B98)*('alle Dateien'!D:D="jpg"))&gt;0,1,0)</f>
        <v>0</v>
      </c>
      <c r="N98">
        <f>IF(SUMPRODUCT(('alle Dateien'!B:B=Bohrungen!B98)*('alle Dateien'!D:D="png"))&gt;0,1,0)</f>
        <v>0</v>
      </c>
      <c r="O98">
        <f>IF(SUMPRODUCT(('alle Dateien'!B:B=Bohrungen!B98)*('alle Dateien'!D:D="xls"))&gt;0,1,0)</f>
        <v>0</v>
      </c>
      <c r="P98">
        <f>IF(SUMPRODUCT(('alle Dateien'!B:B=Bohrungen!B98)*('alle Dateien'!D:D="txt"))&gt;0,1,0)</f>
        <v>0</v>
      </c>
      <c r="Q98">
        <f>IF(SUMPRODUCT(('alle Dateien'!B:B=Bohrungen!B98)*('alle Dateien'!D:D="ZIP oder R"))&gt;0,1,0)</f>
        <v>0</v>
      </c>
      <c r="R98">
        <f>IF(SUMPRODUCT(('alle Dateien'!B:B=Bohrungen!B98)*('alle Dateien'!D:D="tsf"))&gt;0,1,0)</f>
        <v>0</v>
      </c>
      <c r="S98">
        <f>IF(SUMPRODUCT(('alle Dateien'!B:B=Bohrungen!B98)*('alle Dateien'!D:D="sch"))&gt;0,1,0)</f>
        <v>0</v>
      </c>
      <c r="U98" t="str">
        <f t="shared" ref="U98:U129" si="3">CONCATENATE(C98,D98,E98,F98,G98,H98,I98,J98,K98,L98,M98,N98,O98,P98,Q98,R98,S98,)</f>
        <v>10000000000000000</v>
      </c>
      <c r="V98" t="str">
        <f>VLOOKUP(U98,Kategorie!B:C,2,FALSE)</f>
        <v>pdf</v>
      </c>
    </row>
    <row r="99" spans="1:22" x14ac:dyDescent="0.25">
      <c r="A99">
        <v>98</v>
      </c>
      <c r="B99" t="s">
        <v>2184</v>
      </c>
      <c r="C99" s="2">
        <f>IF(SUMPRODUCT(('alle Dateien'!B:B=Bohrungen!B99)*('alle Dateien'!D:D="pdf"))&gt;0,1,0)</f>
        <v>1</v>
      </c>
      <c r="D99">
        <f>IF(SUMPRODUCT(('alle Dateien'!B:B=Bohrungen!B99)*('alle Dateien'!D:D="tif"))&gt;0,1,0)</f>
        <v>0</v>
      </c>
      <c r="E99">
        <f>IF(SUMPRODUCT(('alle Dateien'!B:B=Bohrungen!B99)*('alle Dateien'!D:D="sdg"))&gt;0,1,0)</f>
        <v>0</v>
      </c>
      <c r="F99">
        <f>IF(SUMPRODUCT(('alle Dateien'!B:B=Bohrungen!B99)*('alle Dateien'!D:D="xlsx"))&gt;0,1,0)</f>
        <v>0</v>
      </c>
      <c r="G99">
        <f>IF(SUMPRODUCT(('alle Dateien'!B:B=Bohrungen!B99)*('alle Dateien'!D:D="docx"))&gt;0,1,0)</f>
        <v>0</v>
      </c>
      <c r="H99">
        <f>IF(SUMPRODUCT(('alle Dateien'!B:B=Bohrungen!B99)*('alle Dateien'!D:D="las"))&gt;0,1,0)</f>
        <v>0</v>
      </c>
      <c r="I99">
        <f>IF(SUMPRODUCT(('alle Dateien'!B:B=Bohrungen!B99)*('alle Dateien'!D:D="db"))&gt;0,1,0)</f>
        <v>0</v>
      </c>
      <c r="J99">
        <f>IF(SUMPRODUCT(('alle Dateien'!B:B=Bohrungen!B99)*('alle Dateien'!D:D="rhistory"))&gt;0,1,0)</f>
        <v>0</v>
      </c>
      <c r="K99">
        <f>IF(SUMPRODUCT(('alle Dateien'!B:B=Bohrungen!B99)*('alle Dateien'!D:D="mdb"))&gt;0,1,0)</f>
        <v>0</v>
      </c>
      <c r="L99">
        <f>IF(SUMPRODUCT(('alle Dateien'!B:B=Bohrungen!B99)*('alle Dateien'!D:D="xml"))&gt;0,1,0)</f>
        <v>0</v>
      </c>
      <c r="M99">
        <f>IF(SUMPRODUCT(('alle Dateien'!B:B=Bohrungen!B99)*('alle Dateien'!D:D="jpg"))&gt;0,1,0)</f>
        <v>0</v>
      </c>
      <c r="N99">
        <f>IF(SUMPRODUCT(('alle Dateien'!B:B=Bohrungen!B99)*('alle Dateien'!D:D="png"))&gt;0,1,0)</f>
        <v>0</v>
      </c>
      <c r="O99">
        <f>IF(SUMPRODUCT(('alle Dateien'!B:B=Bohrungen!B99)*('alle Dateien'!D:D="xls"))&gt;0,1,0)</f>
        <v>0</v>
      </c>
      <c r="P99">
        <f>IF(SUMPRODUCT(('alle Dateien'!B:B=Bohrungen!B99)*('alle Dateien'!D:D="txt"))&gt;0,1,0)</f>
        <v>0</v>
      </c>
      <c r="Q99">
        <f>IF(SUMPRODUCT(('alle Dateien'!B:B=Bohrungen!B99)*('alle Dateien'!D:D="ZIP oder R"))&gt;0,1,0)</f>
        <v>0</v>
      </c>
      <c r="R99">
        <f>IF(SUMPRODUCT(('alle Dateien'!B:B=Bohrungen!B99)*('alle Dateien'!D:D="tsf"))&gt;0,1,0)</f>
        <v>0</v>
      </c>
      <c r="S99">
        <f>IF(SUMPRODUCT(('alle Dateien'!B:B=Bohrungen!B99)*('alle Dateien'!D:D="sch"))&gt;0,1,0)</f>
        <v>0</v>
      </c>
      <c r="U99" t="str">
        <f t="shared" si="3"/>
        <v>10000000000000000</v>
      </c>
      <c r="V99" t="str">
        <f>VLOOKUP(U99,Kategorie!B:C,2,FALSE)</f>
        <v>pdf</v>
      </c>
    </row>
    <row r="100" spans="1:22" x14ac:dyDescent="0.25">
      <c r="A100">
        <v>99</v>
      </c>
      <c r="B100" t="s">
        <v>2185</v>
      </c>
      <c r="C100" s="2">
        <f>IF(SUMPRODUCT(('alle Dateien'!B:B=Bohrungen!B100)*('alle Dateien'!D:D="pdf"))&gt;0,1,0)</f>
        <v>1</v>
      </c>
      <c r="D100">
        <f>IF(SUMPRODUCT(('alle Dateien'!B:B=Bohrungen!B100)*('alle Dateien'!D:D="tif"))&gt;0,1,0)</f>
        <v>0</v>
      </c>
      <c r="E100">
        <f>IF(SUMPRODUCT(('alle Dateien'!B:B=Bohrungen!B100)*('alle Dateien'!D:D="sdg"))&gt;0,1,0)</f>
        <v>0</v>
      </c>
      <c r="F100">
        <f>IF(SUMPRODUCT(('alle Dateien'!B:B=Bohrungen!B100)*('alle Dateien'!D:D="xlsx"))&gt;0,1,0)</f>
        <v>0</v>
      </c>
      <c r="G100">
        <f>IF(SUMPRODUCT(('alle Dateien'!B:B=Bohrungen!B100)*('alle Dateien'!D:D="docx"))&gt;0,1,0)</f>
        <v>0</v>
      </c>
      <c r="H100">
        <f>IF(SUMPRODUCT(('alle Dateien'!B:B=Bohrungen!B100)*('alle Dateien'!D:D="las"))&gt;0,1,0)</f>
        <v>0</v>
      </c>
      <c r="I100">
        <f>IF(SUMPRODUCT(('alle Dateien'!B:B=Bohrungen!B100)*('alle Dateien'!D:D="db"))&gt;0,1,0)</f>
        <v>0</v>
      </c>
      <c r="J100">
        <f>IF(SUMPRODUCT(('alle Dateien'!B:B=Bohrungen!B100)*('alle Dateien'!D:D="rhistory"))&gt;0,1,0)</f>
        <v>0</v>
      </c>
      <c r="K100">
        <f>IF(SUMPRODUCT(('alle Dateien'!B:B=Bohrungen!B100)*('alle Dateien'!D:D="mdb"))&gt;0,1,0)</f>
        <v>0</v>
      </c>
      <c r="L100">
        <f>IF(SUMPRODUCT(('alle Dateien'!B:B=Bohrungen!B100)*('alle Dateien'!D:D="xml"))&gt;0,1,0)</f>
        <v>0</v>
      </c>
      <c r="M100">
        <f>IF(SUMPRODUCT(('alle Dateien'!B:B=Bohrungen!B100)*('alle Dateien'!D:D="jpg"))&gt;0,1,0)</f>
        <v>0</v>
      </c>
      <c r="N100">
        <f>IF(SUMPRODUCT(('alle Dateien'!B:B=Bohrungen!B100)*('alle Dateien'!D:D="png"))&gt;0,1,0)</f>
        <v>0</v>
      </c>
      <c r="O100">
        <f>IF(SUMPRODUCT(('alle Dateien'!B:B=Bohrungen!B100)*('alle Dateien'!D:D="xls"))&gt;0,1,0)</f>
        <v>0</v>
      </c>
      <c r="P100">
        <f>IF(SUMPRODUCT(('alle Dateien'!B:B=Bohrungen!B100)*('alle Dateien'!D:D="txt"))&gt;0,1,0)</f>
        <v>0</v>
      </c>
      <c r="Q100">
        <f>IF(SUMPRODUCT(('alle Dateien'!B:B=Bohrungen!B100)*('alle Dateien'!D:D="ZIP oder R"))&gt;0,1,0)</f>
        <v>0</v>
      </c>
      <c r="R100">
        <f>IF(SUMPRODUCT(('alle Dateien'!B:B=Bohrungen!B100)*('alle Dateien'!D:D="tsf"))&gt;0,1,0)</f>
        <v>0</v>
      </c>
      <c r="S100">
        <f>IF(SUMPRODUCT(('alle Dateien'!B:B=Bohrungen!B100)*('alle Dateien'!D:D="sch"))&gt;0,1,0)</f>
        <v>0</v>
      </c>
      <c r="U100" t="str">
        <f t="shared" si="3"/>
        <v>10000000000000000</v>
      </c>
      <c r="V100" t="str">
        <f>VLOOKUP(U100,Kategorie!B:C,2,FALSE)</f>
        <v>pdf</v>
      </c>
    </row>
    <row r="101" spans="1:22" x14ac:dyDescent="0.25">
      <c r="A101">
        <v>100</v>
      </c>
      <c r="B101" t="s">
        <v>2186</v>
      </c>
      <c r="C101" s="2">
        <f>IF(SUMPRODUCT(('alle Dateien'!B:B=Bohrungen!B101)*('alle Dateien'!D:D="pdf"))&gt;0,1,0)</f>
        <v>1</v>
      </c>
      <c r="D101">
        <f>IF(SUMPRODUCT(('alle Dateien'!B:B=Bohrungen!B101)*('alle Dateien'!D:D="tif"))&gt;0,1,0)</f>
        <v>0</v>
      </c>
      <c r="E101">
        <f>IF(SUMPRODUCT(('alle Dateien'!B:B=Bohrungen!B101)*('alle Dateien'!D:D="sdg"))&gt;0,1,0)</f>
        <v>0</v>
      </c>
      <c r="F101">
        <f>IF(SUMPRODUCT(('alle Dateien'!B:B=Bohrungen!B101)*('alle Dateien'!D:D="xlsx"))&gt;0,1,0)</f>
        <v>0</v>
      </c>
      <c r="G101">
        <f>IF(SUMPRODUCT(('alle Dateien'!B:B=Bohrungen!B101)*('alle Dateien'!D:D="docx"))&gt;0,1,0)</f>
        <v>0</v>
      </c>
      <c r="H101">
        <f>IF(SUMPRODUCT(('alle Dateien'!B:B=Bohrungen!B101)*('alle Dateien'!D:D="las"))&gt;0,1,0)</f>
        <v>0</v>
      </c>
      <c r="I101">
        <f>IF(SUMPRODUCT(('alle Dateien'!B:B=Bohrungen!B101)*('alle Dateien'!D:D="db"))&gt;0,1,0)</f>
        <v>0</v>
      </c>
      <c r="J101">
        <f>IF(SUMPRODUCT(('alle Dateien'!B:B=Bohrungen!B101)*('alle Dateien'!D:D="rhistory"))&gt;0,1,0)</f>
        <v>0</v>
      </c>
      <c r="K101">
        <f>IF(SUMPRODUCT(('alle Dateien'!B:B=Bohrungen!B101)*('alle Dateien'!D:D="mdb"))&gt;0,1,0)</f>
        <v>0</v>
      </c>
      <c r="L101">
        <f>IF(SUMPRODUCT(('alle Dateien'!B:B=Bohrungen!B101)*('alle Dateien'!D:D="xml"))&gt;0,1,0)</f>
        <v>0</v>
      </c>
      <c r="M101">
        <f>IF(SUMPRODUCT(('alle Dateien'!B:B=Bohrungen!B101)*('alle Dateien'!D:D="jpg"))&gt;0,1,0)</f>
        <v>0</v>
      </c>
      <c r="N101">
        <f>IF(SUMPRODUCT(('alle Dateien'!B:B=Bohrungen!B101)*('alle Dateien'!D:D="png"))&gt;0,1,0)</f>
        <v>0</v>
      </c>
      <c r="O101">
        <f>IF(SUMPRODUCT(('alle Dateien'!B:B=Bohrungen!B101)*('alle Dateien'!D:D="xls"))&gt;0,1,0)</f>
        <v>0</v>
      </c>
      <c r="P101">
        <f>IF(SUMPRODUCT(('alle Dateien'!B:B=Bohrungen!B101)*('alle Dateien'!D:D="txt"))&gt;0,1,0)</f>
        <v>0</v>
      </c>
      <c r="Q101">
        <f>IF(SUMPRODUCT(('alle Dateien'!B:B=Bohrungen!B101)*('alle Dateien'!D:D="ZIP oder R"))&gt;0,1,0)</f>
        <v>0</v>
      </c>
      <c r="R101">
        <f>IF(SUMPRODUCT(('alle Dateien'!B:B=Bohrungen!B101)*('alle Dateien'!D:D="tsf"))&gt;0,1,0)</f>
        <v>0</v>
      </c>
      <c r="S101">
        <f>IF(SUMPRODUCT(('alle Dateien'!B:B=Bohrungen!B101)*('alle Dateien'!D:D="sch"))&gt;0,1,0)</f>
        <v>0</v>
      </c>
      <c r="U101" t="str">
        <f t="shared" si="3"/>
        <v>10000000000000000</v>
      </c>
      <c r="V101" t="str">
        <f>VLOOKUP(U101,Kategorie!B:C,2,FALSE)</f>
        <v>pdf</v>
      </c>
    </row>
    <row r="102" spans="1:22" x14ac:dyDescent="0.25">
      <c r="A102">
        <v>101</v>
      </c>
      <c r="B102" t="s">
        <v>2187</v>
      </c>
      <c r="C102" s="2">
        <f>IF(SUMPRODUCT(('alle Dateien'!B:B=Bohrungen!B102)*('alle Dateien'!D:D="pdf"))&gt;0,1,0)</f>
        <v>1</v>
      </c>
      <c r="D102">
        <f>IF(SUMPRODUCT(('alle Dateien'!B:B=Bohrungen!B102)*('alle Dateien'!D:D="tif"))&gt;0,1,0)</f>
        <v>0</v>
      </c>
      <c r="E102">
        <f>IF(SUMPRODUCT(('alle Dateien'!B:B=Bohrungen!B102)*('alle Dateien'!D:D="sdg"))&gt;0,1,0)</f>
        <v>0</v>
      </c>
      <c r="F102">
        <f>IF(SUMPRODUCT(('alle Dateien'!B:B=Bohrungen!B102)*('alle Dateien'!D:D="xlsx"))&gt;0,1,0)</f>
        <v>0</v>
      </c>
      <c r="G102">
        <f>IF(SUMPRODUCT(('alle Dateien'!B:B=Bohrungen!B102)*('alle Dateien'!D:D="docx"))&gt;0,1,0)</f>
        <v>0</v>
      </c>
      <c r="H102">
        <f>IF(SUMPRODUCT(('alle Dateien'!B:B=Bohrungen!B102)*('alle Dateien'!D:D="las"))&gt;0,1,0)</f>
        <v>0</v>
      </c>
      <c r="I102">
        <f>IF(SUMPRODUCT(('alle Dateien'!B:B=Bohrungen!B102)*('alle Dateien'!D:D="db"))&gt;0,1,0)</f>
        <v>0</v>
      </c>
      <c r="J102">
        <f>IF(SUMPRODUCT(('alle Dateien'!B:B=Bohrungen!B102)*('alle Dateien'!D:D="rhistory"))&gt;0,1,0)</f>
        <v>0</v>
      </c>
      <c r="K102">
        <f>IF(SUMPRODUCT(('alle Dateien'!B:B=Bohrungen!B102)*('alle Dateien'!D:D="mdb"))&gt;0,1,0)</f>
        <v>0</v>
      </c>
      <c r="L102">
        <f>IF(SUMPRODUCT(('alle Dateien'!B:B=Bohrungen!B102)*('alle Dateien'!D:D="xml"))&gt;0,1,0)</f>
        <v>0</v>
      </c>
      <c r="M102">
        <f>IF(SUMPRODUCT(('alle Dateien'!B:B=Bohrungen!B102)*('alle Dateien'!D:D="jpg"))&gt;0,1,0)</f>
        <v>0</v>
      </c>
      <c r="N102">
        <f>IF(SUMPRODUCT(('alle Dateien'!B:B=Bohrungen!B102)*('alle Dateien'!D:D="png"))&gt;0,1,0)</f>
        <v>0</v>
      </c>
      <c r="O102">
        <f>IF(SUMPRODUCT(('alle Dateien'!B:B=Bohrungen!B102)*('alle Dateien'!D:D="xls"))&gt;0,1,0)</f>
        <v>0</v>
      </c>
      <c r="P102">
        <f>IF(SUMPRODUCT(('alle Dateien'!B:B=Bohrungen!B102)*('alle Dateien'!D:D="txt"))&gt;0,1,0)</f>
        <v>0</v>
      </c>
      <c r="Q102">
        <f>IF(SUMPRODUCT(('alle Dateien'!B:B=Bohrungen!B102)*('alle Dateien'!D:D="ZIP oder R"))&gt;0,1,0)</f>
        <v>0</v>
      </c>
      <c r="R102">
        <f>IF(SUMPRODUCT(('alle Dateien'!B:B=Bohrungen!B102)*('alle Dateien'!D:D="tsf"))&gt;0,1,0)</f>
        <v>0</v>
      </c>
      <c r="S102">
        <f>IF(SUMPRODUCT(('alle Dateien'!B:B=Bohrungen!B102)*('alle Dateien'!D:D="sch"))&gt;0,1,0)</f>
        <v>0</v>
      </c>
      <c r="U102" t="str">
        <f t="shared" si="3"/>
        <v>10000000000000000</v>
      </c>
      <c r="V102" t="str">
        <f>VLOOKUP(U102,Kategorie!B:C,2,FALSE)</f>
        <v>pdf</v>
      </c>
    </row>
    <row r="103" spans="1:22" x14ac:dyDescent="0.25">
      <c r="A103">
        <v>102</v>
      </c>
      <c r="B103" t="s">
        <v>2188</v>
      </c>
      <c r="C103" s="2">
        <f>IF(SUMPRODUCT(('alle Dateien'!B:B=Bohrungen!B103)*('alle Dateien'!D:D="pdf"))&gt;0,1,0)</f>
        <v>1</v>
      </c>
      <c r="D103">
        <f>IF(SUMPRODUCT(('alle Dateien'!B:B=Bohrungen!B103)*('alle Dateien'!D:D="tif"))&gt;0,1,0)</f>
        <v>0</v>
      </c>
      <c r="E103">
        <f>IF(SUMPRODUCT(('alle Dateien'!B:B=Bohrungen!B103)*('alle Dateien'!D:D="sdg"))&gt;0,1,0)</f>
        <v>0</v>
      </c>
      <c r="F103">
        <f>IF(SUMPRODUCT(('alle Dateien'!B:B=Bohrungen!B103)*('alle Dateien'!D:D="xlsx"))&gt;0,1,0)</f>
        <v>0</v>
      </c>
      <c r="G103">
        <f>IF(SUMPRODUCT(('alle Dateien'!B:B=Bohrungen!B103)*('alle Dateien'!D:D="docx"))&gt;0,1,0)</f>
        <v>0</v>
      </c>
      <c r="H103">
        <f>IF(SUMPRODUCT(('alle Dateien'!B:B=Bohrungen!B103)*('alle Dateien'!D:D="las"))&gt;0,1,0)</f>
        <v>0</v>
      </c>
      <c r="I103">
        <f>IF(SUMPRODUCT(('alle Dateien'!B:B=Bohrungen!B103)*('alle Dateien'!D:D="db"))&gt;0,1,0)</f>
        <v>0</v>
      </c>
      <c r="J103">
        <f>IF(SUMPRODUCT(('alle Dateien'!B:B=Bohrungen!B103)*('alle Dateien'!D:D="rhistory"))&gt;0,1,0)</f>
        <v>0</v>
      </c>
      <c r="K103">
        <f>IF(SUMPRODUCT(('alle Dateien'!B:B=Bohrungen!B103)*('alle Dateien'!D:D="mdb"))&gt;0,1,0)</f>
        <v>0</v>
      </c>
      <c r="L103">
        <f>IF(SUMPRODUCT(('alle Dateien'!B:B=Bohrungen!B103)*('alle Dateien'!D:D="xml"))&gt;0,1,0)</f>
        <v>0</v>
      </c>
      <c r="M103">
        <f>IF(SUMPRODUCT(('alle Dateien'!B:B=Bohrungen!B103)*('alle Dateien'!D:D="jpg"))&gt;0,1,0)</f>
        <v>0</v>
      </c>
      <c r="N103">
        <f>IF(SUMPRODUCT(('alle Dateien'!B:B=Bohrungen!B103)*('alle Dateien'!D:D="png"))&gt;0,1,0)</f>
        <v>0</v>
      </c>
      <c r="O103">
        <f>IF(SUMPRODUCT(('alle Dateien'!B:B=Bohrungen!B103)*('alle Dateien'!D:D="xls"))&gt;0,1,0)</f>
        <v>0</v>
      </c>
      <c r="P103">
        <f>IF(SUMPRODUCT(('alle Dateien'!B:B=Bohrungen!B103)*('alle Dateien'!D:D="txt"))&gt;0,1,0)</f>
        <v>0</v>
      </c>
      <c r="Q103">
        <f>IF(SUMPRODUCT(('alle Dateien'!B:B=Bohrungen!B103)*('alle Dateien'!D:D="ZIP oder R"))&gt;0,1,0)</f>
        <v>0</v>
      </c>
      <c r="R103">
        <f>IF(SUMPRODUCT(('alle Dateien'!B:B=Bohrungen!B103)*('alle Dateien'!D:D="tsf"))&gt;0,1,0)</f>
        <v>0</v>
      </c>
      <c r="S103">
        <f>IF(SUMPRODUCT(('alle Dateien'!B:B=Bohrungen!B103)*('alle Dateien'!D:D="sch"))&gt;0,1,0)</f>
        <v>0</v>
      </c>
      <c r="U103" t="str">
        <f t="shared" si="3"/>
        <v>10000000000000000</v>
      </c>
      <c r="V103" t="str">
        <f>VLOOKUP(U103,Kategorie!B:C,2,FALSE)</f>
        <v>pdf</v>
      </c>
    </row>
    <row r="104" spans="1:22" x14ac:dyDescent="0.25">
      <c r="A104">
        <v>103</v>
      </c>
      <c r="B104" t="s">
        <v>2189</v>
      </c>
      <c r="C104" s="2">
        <f>IF(SUMPRODUCT(('alle Dateien'!B:B=Bohrungen!B104)*('alle Dateien'!D:D="pdf"))&gt;0,1,0)</f>
        <v>0</v>
      </c>
      <c r="D104">
        <f>IF(SUMPRODUCT(('alle Dateien'!B:B=Bohrungen!B104)*('alle Dateien'!D:D="tif"))&gt;0,1,0)</f>
        <v>1</v>
      </c>
      <c r="E104">
        <f>IF(SUMPRODUCT(('alle Dateien'!B:B=Bohrungen!B104)*('alle Dateien'!D:D="sdg"))&gt;0,1,0)</f>
        <v>1</v>
      </c>
      <c r="F104">
        <f>IF(SUMPRODUCT(('alle Dateien'!B:B=Bohrungen!B104)*('alle Dateien'!D:D="xlsx"))&gt;0,1,0)</f>
        <v>1</v>
      </c>
      <c r="G104">
        <f>IF(SUMPRODUCT(('alle Dateien'!B:B=Bohrungen!B104)*('alle Dateien'!D:D="docx"))&gt;0,1,0)</f>
        <v>1</v>
      </c>
      <c r="H104">
        <f>IF(SUMPRODUCT(('alle Dateien'!B:B=Bohrungen!B104)*('alle Dateien'!D:D="las"))&gt;0,1,0)</f>
        <v>1</v>
      </c>
      <c r="I104">
        <f>IF(SUMPRODUCT(('alle Dateien'!B:B=Bohrungen!B104)*('alle Dateien'!D:D="db"))&gt;0,1,0)</f>
        <v>1</v>
      </c>
      <c r="J104">
        <f>IF(SUMPRODUCT(('alle Dateien'!B:B=Bohrungen!B104)*('alle Dateien'!D:D="rhistory"))&gt;0,1,0)</f>
        <v>0</v>
      </c>
      <c r="K104">
        <f>IF(SUMPRODUCT(('alle Dateien'!B:B=Bohrungen!B104)*('alle Dateien'!D:D="mdb"))&gt;0,1,0)</f>
        <v>0</v>
      </c>
      <c r="L104">
        <f>IF(SUMPRODUCT(('alle Dateien'!B:B=Bohrungen!B104)*('alle Dateien'!D:D="xml"))&gt;0,1,0)</f>
        <v>0</v>
      </c>
      <c r="M104">
        <f>IF(SUMPRODUCT(('alle Dateien'!B:B=Bohrungen!B104)*('alle Dateien'!D:D="jpg"))&gt;0,1,0)</f>
        <v>0</v>
      </c>
      <c r="N104">
        <f>IF(SUMPRODUCT(('alle Dateien'!B:B=Bohrungen!B104)*('alle Dateien'!D:D="png"))&gt;0,1,0)</f>
        <v>0</v>
      </c>
      <c r="O104">
        <f>IF(SUMPRODUCT(('alle Dateien'!B:B=Bohrungen!B104)*('alle Dateien'!D:D="xls"))&gt;0,1,0)</f>
        <v>0</v>
      </c>
      <c r="P104">
        <f>IF(SUMPRODUCT(('alle Dateien'!B:B=Bohrungen!B104)*('alle Dateien'!D:D="txt"))&gt;0,1,0)</f>
        <v>0</v>
      </c>
      <c r="Q104">
        <f>IF(SUMPRODUCT(('alle Dateien'!B:B=Bohrungen!B104)*('alle Dateien'!D:D="ZIP oder R"))&gt;0,1,0)</f>
        <v>0</v>
      </c>
      <c r="R104">
        <f>IF(SUMPRODUCT(('alle Dateien'!B:B=Bohrungen!B104)*('alle Dateien'!D:D="tsf"))&gt;0,1,0)</f>
        <v>0</v>
      </c>
      <c r="S104">
        <f>IF(SUMPRODUCT(('alle Dateien'!B:B=Bohrungen!B104)*('alle Dateien'!D:D="sch"))&gt;0,1,0)</f>
        <v>0</v>
      </c>
      <c r="U104" t="str">
        <f t="shared" si="3"/>
        <v>01111110000000000</v>
      </c>
      <c r="V104" t="str">
        <f>VLOOKUP(U104,Kategorie!B:C,2,FALSE)</f>
        <v>tif/ sdg/ xlsx/ docx/ las/ db</v>
      </c>
    </row>
    <row r="105" spans="1:22" x14ac:dyDescent="0.25">
      <c r="A105">
        <v>104</v>
      </c>
      <c r="B105" t="s">
        <v>2190</v>
      </c>
      <c r="C105" s="2">
        <f>IF(SUMPRODUCT(('alle Dateien'!B:B=Bohrungen!B105)*('alle Dateien'!D:D="pdf"))&gt;0,1,0)</f>
        <v>1</v>
      </c>
      <c r="D105">
        <f>IF(SUMPRODUCT(('alle Dateien'!B:B=Bohrungen!B105)*('alle Dateien'!D:D="tif"))&gt;0,1,0)</f>
        <v>0</v>
      </c>
      <c r="E105">
        <f>IF(SUMPRODUCT(('alle Dateien'!B:B=Bohrungen!B105)*('alle Dateien'!D:D="sdg"))&gt;0,1,0)</f>
        <v>0</v>
      </c>
      <c r="F105">
        <f>IF(SUMPRODUCT(('alle Dateien'!B:B=Bohrungen!B105)*('alle Dateien'!D:D="xlsx"))&gt;0,1,0)</f>
        <v>0</v>
      </c>
      <c r="G105">
        <f>IF(SUMPRODUCT(('alle Dateien'!B:B=Bohrungen!B105)*('alle Dateien'!D:D="docx"))&gt;0,1,0)</f>
        <v>0</v>
      </c>
      <c r="H105">
        <f>IF(SUMPRODUCT(('alle Dateien'!B:B=Bohrungen!B105)*('alle Dateien'!D:D="las"))&gt;0,1,0)</f>
        <v>0</v>
      </c>
      <c r="I105">
        <f>IF(SUMPRODUCT(('alle Dateien'!B:B=Bohrungen!B105)*('alle Dateien'!D:D="db"))&gt;0,1,0)</f>
        <v>0</v>
      </c>
      <c r="J105">
        <f>IF(SUMPRODUCT(('alle Dateien'!B:B=Bohrungen!B105)*('alle Dateien'!D:D="rhistory"))&gt;0,1,0)</f>
        <v>0</v>
      </c>
      <c r="K105">
        <f>IF(SUMPRODUCT(('alle Dateien'!B:B=Bohrungen!B105)*('alle Dateien'!D:D="mdb"))&gt;0,1,0)</f>
        <v>0</v>
      </c>
      <c r="L105">
        <f>IF(SUMPRODUCT(('alle Dateien'!B:B=Bohrungen!B105)*('alle Dateien'!D:D="xml"))&gt;0,1,0)</f>
        <v>0</v>
      </c>
      <c r="M105">
        <f>IF(SUMPRODUCT(('alle Dateien'!B:B=Bohrungen!B105)*('alle Dateien'!D:D="jpg"))&gt;0,1,0)</f>
        <v>0</v>
      </c>
      <c r="N105">
        <f>IF(SUMPRODUCT(('alle Dateien'!B:B=Bohrungen!B105)*('alle Dateien'!D:D="png"))&gt;0,1,0)</f>
        <v>0</v>
      </c>
      <c r="O105">
        <f>IF(SUMPRODUCT(('alle Dateien'!B:B=Bohrungen!B105)*('alle Dateien'!D:D="xls"))&gt;0,1,0)</f>
        <v>0</v>
      </c>
      <c r="P105">
        <f>IF(SUMPRODUCT(('alle Dateien'!B:B=Bohrungen!B105)*('alle Dateien'!D:D="txt"))&gt;0,1,0)</f>
        <v>0</v>
      </c>
      <c r="Q105">
        <f>IF(SUMPRODUCT(('alle Dateien'!B:B=Bohrungen!B105)*('alle Dateien'!D:D="ZIP oder R"))&gt;0,1,0)</f>
        <v>0</v>
      </c>
      <c r="R105">
        <f>IF(SUMPRODUCT(('alle Dateien'!B:B=Bohrungen!B105)*('alle Dateien'!D:D="tsf"))&gt;0,1,0)</f>
        <v>0</v>
      </c>
      <c r="S105">
        <f>IF(SUMPRODUCT(('alle Dateien'!B:B=Bohrungen!B105)*('alle Dateien'!D:D="sch"))&gt;0,1,0)</f>
        <v>0</v>
      </c>
      <c r="U105" t="str">
        <f t="shared" si="3"/>
        <v>10000000000000000</v>
      </c>
      <c r="V105" t="str">
        <f>VLOOKUP(U105,Kategorie!B:C,2,FALSE)</f>
        <v>pdf</v>
      </c>
    </row>
    <row r="106" spans="1:22" x14ac:dyDescent="0.25">
      <c r="A106">
        <v>105</v>
      </c>
      <c r="B106" t="s">
        <v>2191</v>
      </c>
      <c r="C106" s="2">
        <f>IF(SUMPRODUCT(('alle Dateien'!B:B=Bohrungen!B106)*('alle Dateien'!D:D="pdf"))&gt;0,1,0)</f>
        <v>1</v>
      </c>
      <c r="D106">
        <f>IF(SUMPRODUCT(('alle Dateien'!B:B=Bohrungen!B106)*('alle Dateien'!D:D="tif"))&gt;0,1,0)</f>
        <v>0</v>
      </c>
      <c r="E106">
        <f>IF(SUMPRODUCT(('alle Dateien'!B:B=Bohrungen!B106)*('alle Dateien'!D:D="sdg"))&gt;0,1,0)</f>
        <v>0</v>
      </c>
      <c r="F106">
        <f>IF(SUMPRODUCT(('alle Dateien'!B:B=Bohrungen!B106)*('alle Dateien'!D:D="xlsx"))&gt;0,1,0)</f>
        <v>0</v>
      </c>
      <c r="G106">
        <f>IF(SUMPRODUCT(('alle Dateien'!B:B=Bohrungen!B106)*('alle Dateien'!D:D="docx"))&gt;0,1,0)</f>
        <v>0</v>
      </c>
      <c r="H106">
        <f>IF(SUMPRODUCT(('alle Dateien'!B:B=Bohrungen!B106)*('alle Dateien'!D:D="las"))&gt;0,1,0)</f>
        <v>0</v>
      </c>
      <c r="I106">
        <f>IF(SUMPRODUCT(('alle Dateien'!B:B=Bohrungen!B106)*('alle Dateien'!D:D="db"))&gt;0,1,0)</f>
        <v>0</v>
      </c>
      <c r="J106">
        <f>IF(SUMPRODUCT(('alle Dateien'!B:B=Bohrungen!B106)*('alle Dateien'!D:D="rhistory"))&gt;0,1,0)</f>
        <v>0</v>
      </c>
      <c r="K106">
        <f>IF(SUMPRODUCT(('alle Dateien'!B:B=Bohrungen!B106)*('alle Dateien'!D:D="mdb"))&gt;0,1,0)</f>
        <v>0</v>
      </c>
      <c r="L106">
        <f>IF(SUMPRODUCT(('alle Dateien'!B:B=Bohrungen!B106)*('alle Dateien'!D:D="xml"))&gt;0,1,0)</f>
        <v>0</v>
      </c>
      <c r="M106">
        <f>IF(SUMPRODUCT(('alle Dateien'!B:B=Bohrungen!B106)*('alle Dateien'!D:D="jpg"))&gt;0,1,0)</f>
        <v>0</v>
      </c>
      <c r="N106">
        <f>IF(SUMPRODUCT(('alle Dateien'!B:B=Bohrungen!B106)*('alle Dateien'!D:D="png"))&gt;0,1,0)</f>
        <v>0</v>
      </c>
      <c r="O106">
        <f>IF(SUMPRODUCT(('alle Dateien'!B:B=Bohrungen!B106)*('alle Dateien'!D:D="xls"))&gt;0,1,0)</f>
        <v>0</v>
      </c>
      <c r="P106">
        <f>IF(SUMPRODUCT(('alle Dateien'!B:B=Bohrungen!B106)*('alle Dateien'!D:D="txt"))&gt;0,1,0)</f>
        <v>0</v>
      </c>
      <c r="Q106">
        <f>IF(SUMPRODUCT(('alle Dateien'!B:B=Bohrungen!B106)*('alle Dateien'!D:D="ZIP oder R"))&gt;0,1,0)</f>
        <v>0</v>
      </c>
      <c r="R106">
        <f>IF(SUMPRODUCT(('alle Dateien'!B:B=Bohrungen!B106)*('alle Dateien'!D:D="tsf"))&gt;0,1,0)</f>
        <v>0</v>
      </c>
      <c r="S106">
        <f>IF(SUMPRODUCT(('alle Dateien'!B:B=Bohrungen!B106)*('alle Dateien'!D:D="sch"))&gt;0,1,0)</f>
        <v>0</v>
      </c>
      <c r="U106" t="str">
        <f t="shared" si="3"/>
        <v>10000000000000000</v>
      </c>
      <c r="V106" t="str">
        <f>VLOOKUP(U106,Kategorie!B:C,2,FALSE)</f>
        <v>pdf</v>
      </c>
    </row>
    <row r="107" spans="1:22" x14ac:dyDescent="0.25">
      <c r="A107">
        <v>106</v>
      </c>
      <c r="B107" t="s">
        <v>2192</v>
      </c>
      <c r="C107" s="2">
        <f>IF(SUMPRODUCT(('alle Dateien'!B:B=Bohrungen!B107)*('alle Dateien'!D:D="pdf"))&gt;0,1,0)</f>
        <v>1</v>
      </c>
      <c r="D107">
        <f>IF(SUMPRODUCT(('alle Dateien'!B:B=Bohrungen!B107)*('alle Dateien'!D:D="tif"))&gt;0,1,0)</f>
        <v>0</v>
      </c>
      <c r="E107">
        <f>IF(SUMPRODUCT(('alle Dateien'!B:B=Bohrungen!B107)*('alle Dateien'!D:D="sdg"))&gt;0,1,0)</f>
        <v>0</v>
      </c>
      <c r="F107">
        <f>IF(SUMPRODUCT(('alle Dateien'!B:B=Bohrungen!B107)*('alle Dateien'!D:D="xlsx"))&gt;0,1,0)</f>
        <v>0</v>
      </c>
      <c r="G107">
        <f>IF(SUMPRODUCT(('alle Dateien'!B:B=Bohrungen!B107)*('alle Dateien'!D:D="docx"))&gt;0,1,0)</f>
        <v>0</v>
      </c>
      <c r="H107">
        <f>IF(SUMPRODUCT(('alle Dateien'!B:B=Bohrungen!B107)*('alle Dateien'!D:D="las"))&gt;0,1,0)</f>
        <v>0</v>
      </c>
      <c r="I107">
        <f>IF(SUMPRODUCT(('alle Dateien'!B:B=Bohrungen!B107)*('alle Dateien'!D:D="db"))&gt;0,1,0)</f>
        <v>0</v>
      </c>
      <c r="J107">
        <f>IF(SUMPRODUCT(('alle Dateien'!B:B=Bohrungen!B107)*('alle Dateien'!D:D="rhistory"))&gt;0,1,0)</f>
        <v>0</v>
      </c>
      <c r="K107">
        <f>IF(SUMPRODUCT(('alle Dateien'!B:B=Bohrungen!B107)*('alle Dateien'!D:D="mdb"))&gt;0,1,0)</f>
        <v>0</v>
      </c>
      <c r="L107">
        <f>IF(SUMPRODUCT(('alle Dateien'!B:B=Bohrungen!B107)*('alle Dateien'!D:D="xml"))&gt;0,1,0)</f>
        <v>0</v>
      </c>
      <c r="M107">
        <f>IF(SUMPRODUCT(('alle Dateien'!B:B=Bohrungen!B107)*('alle Dateien'!D:D="jpg"))&gt;0,1,0)</f>
        <v>0</v>
      </c>
      <c r="N107">
        <f>IF(SUMPRODUCT(('alle Dateien'!B:B=Bohrungen!B107)*('alle Dateien'!D:D="png"))&gt;0,1,0)</f>
        <v>0</v>
      </c>
      <c r="O107">
        <f>IF(SUMPRODUCT(('alle Dateien'!B:B=Bohrungen!B107)*('alle Dateien'!D:D="xls"))&gt;0,1,0)</f>
        <v>0</v>
      </c>
      <c r="P107">
        <f>IF(SUMPRODUCT(('alle Dateien'!B:B=Bohrungen!B107)*('alle Dateien'!D:D="txt"))&gt;0,1,0)</f>
        <v>0</v>
      </c>
      <c r="Q107">
        <f>IF(SUMPRODUCT(('alle Dateien'!B:B=Bohrungen!B107)*('alle Dateien'!D:D="ZIP oder R"))&gt;0,1,0)</f>
        <v>0</v>
      </c>
      <c r="R107">
        <f>IF(SUMPRODUCT(('alle Dateien'!B:B=Bohrungen!B107)*('alle Dateien'!D:D="tsf"))&gt;0,1,0)</f>
        <v>0</v>
      </c>
      <c r="S107">
        <f>IF(SUMPRODUCT(('alle Dateien'!B:B=Bohrungen!B107)*('alle Dateien'!D:D="sch"))&gt;0,1,0)</f>
        <v>0</v>
      </c>
      <c r="U107" t="str">
        <f t="shared" si="3"/>
        <v>10000000000000000</v>
      </c>
      <c r="V107" t="str">
        <f>VLOOKUP(U107,Kategorie!B:C,2,FALSE)</f>
        <v>pdf</v>
      </c>
    </row>
    <row r="108" spans="1:22" x14ac:dyDescent="0.25">
      <c r="A108">
        <v>107</v>
      </c>
      <c r="B108" t="s">
        <v>2193</v>
      </c>
      <c r="C108" s="2">
        <f>IF(SUMPRODUCT(('alle Dateien'!B:B=Bohrungen!B108)*('alle Dateien'!D:D="pdf"))&gt;0,1,0)</f>
        <v>1</v>
      </c>
      <c r="D108">
        <f>IF(SUMPRODUCT(('alle Dateien'!B:B=Bohrungen!B108)*('alle Dateien'!D:D="tif"))&gt;0,1,0)</f>
        <v>0</v>
      </c>
      <c r="E108">
        <f>IF(SUMPRODUCT(('alle Dateien'!B:B=Bohrungen!B108)*('alle Dateien'!D:D="sdg"))&gt;0,1,0)</f>
        <v>0</v>
      </c>
      <c r="F108">
        <f>IF(SUMPRODUCT(('alle Dateien'!B:B=Bohrungen!B108)*('alle Dateien'!D:D="xlsx"))&gt;0,1,0)</f>
        <v>0</v>
      </c>
      <c r="G108">
        <f>IF(SUMPRODUCT(('alle Dateien'!B:B=Bohrungen!B108)*('alle Dateien'!D:D="docx"))&gt;0,1,0)</f>
        <v>0</v>
      </c>
      <c r="H108">
        <f>IF(SUMPRODUCT(('alle Dateien'!B:B=Bohrungen!B108)*('alle Dateien'!D:D="las"))&gt;0,1,0)</f>
        <v>0</v>
      </c>
      <c r="I108">
        <f>IF(SUMPRODUCT(('alle Dateien'!B:B=Bohrungen!B108)*('alle Dateien'!D:D="db"))&gt;0,1,0)</f>
        <v>0</v>
      </c>
      <c r="J108">
        <f>IF(SUMPRODUCT(('alle Dateien'!B:B=Bohrungen!B108)*('alle Dateien'!D:D="rhistory"))&gt;0,1,0)</f>
        <v>0</v>
      </c>
      <c r="K108">
        <f>IF(SUMPRODUCT(('alle Dateien'!B:B=Bohrungen!B108)*('alle Dateien'!D:D="mdb"))&gt;0,1,0)</f>
        <v>0</v>
      </c>
      <c r="L108">
        <f>IF(SUMPRODUCT(('alle Dateien'!B:B=Bohrungen!B108)*('alle Dateien'!D:D="xml"))&gt;0,1,0)</f>
        <v>0</v>
      </c>
      <c r="M108">
        <f>IF(SUMPRODUCT(('alle Dateien'!B:B=Bohrungen!B108)*('alle Dateien'!D:D="jpg"))&gt;0,1,0)</f>
        <v>0</v>
      </c>
      <c r="N108">
        <f>IF(SUMPRODUCT(('alle Dateien'!B:B=Bohrungen!B108)*('alle Dateien'!D:D="png"))&gt;0,1,0)</f>
        <v>0</v>
      </c>
      <c r="O108">
        <f>IF(SUMPRODUCT(('alle Dateien'!B:B=Bohrungen!B108)*('alle Dateien'!D:D="xls"))&gt;0,1,0)</f>
        <v>0</v>
      </c>
      <c r="P108">
        <f>IF(SUMPRODUCT(('alle Dateien'!B:B=Bohrungen!B108)*('alle Dateien'!D:D="txt"))&gt;0,1,0)</f>
        <v>0</v>
      </c>
      <c r="Q108">
        <f>IF(SUMPRODUCT(('alle Dateien'!B:B=Bohrungen!B108)*('alle Dateien'!D:D="ZIP oder R"))&gt;0,1,0)</f>
        <v>0</v>
      </c>
      <c r="R108">
        <f>IF(SUMPRODUCT(('alle Dateien'!B:B=Bohrungen!B108)*('alle Dateien'!D:D="tsf"))&gt;0,1,0)</f>
        <v>0</v>
      </c>
      <c r="S108">
        <f>IF(SUMPRODUCT(('alle Dateien'!B:B=Bohrungen!B108)*('alle Dateien'!D:D="sch"))&gt;0,1,0)</f>
        <v>0</v>
      </c>
      <c r="U108" t="str">
        <f t="shared" si="3"/>
        <v>10000000000000000</v>
      </c>
      <c r="V108" t="str">
        <f>VLOOKUP(U108,Kategorie!B:C,2,FALSE)</f>
        <v>pdf</v>
      </c>
    </row>
    <row r="109" spans="1:22" x14ac:dyDescent="0.25">
      <c r="A109">
        <v>108</v>
      </c>
      <c r="B109" t="s">
        <v>2194</v>
      </c>
      <c r="C109" s="2">
        <f>IF(SUMPRODUCT(('alle Dateien'!B:B=Bohrungen!B109)*('alle Dateien'!D:D="pdf"))&gt;0,1,0)</f>
        <v>1</v>
      </c>
      <c r="D109">
        <f>IF(SUMPRODUCT(('alle Dateien'!B:B=Bohrungen!B109)*('alle Dateien'!D:D="tif"))&gt;0,1,0)</f>
        <v>0</v>
      </c>
      <c r="E109">
        <f>IF(SUMPRODUCT(('alle Dateien'!B:B=Bohrungen!B109)*('alle Dateien'!D:D="sdg"))&gt;0,1,0)</f>
        <v>0</v>
      </c>
      <c r="F109">
        <f>IF(SUMPRODUCT(('alle Dateien'!B:B=Bohrungen!B109)*('alle Dateien'!D:D="xlsx"))&gt;0,1,0)</f>
        <v>0</v>
      </c>
      <c r="G109">
        <f>IF(SUMPRODUCT(('alle Dateien'!B:B=Bohrungen!B109)*('alle Dateien'!D:D="docx"))&gt;0,1,0)</f>
        <v>0</v>
      </c>
      <c r="H109">
        <f>IF(SUMPRODUCT(('alle Dateien'!B:B=Bohrungen!B109)*('alle Dateien'!D:D="las"))&gt;0,1,0)</f>
        <v>0</v>
      </c>
      <c r="I109">
        <f>IF(SUMPRODUCT(('alle Dateien'!B:B=Bohrungen!B109)*('alle Dateien'!D:D="db"))&gt;0,1,0)</f>
        <v>0</v>
      </c>
      <c r="J109">
        <f>IF(SUMPRODUCT(('alle Dateien'!B:B=Bohrungen!B109)*('alle Dateien'!D:D="rhistory"))&gt;0,1,0)</f>
        <v>0</v>
      </c>
      <c r="K109">
        <f>IF(SUMPRODUCT(('alle Dateien'!B:B=Bohrungen!B109)*('alle Dateien'!D:D="mdb"))&gt;0,1,0)</f>
        <v>0</v>
      </c>
      <c r="L109">
        <f>IF(SUMPRODUCT(('alle Dateien'!B:B=Bohrungen!B109)*('alle Dateien'!D:D="xml"))&gt;0,1,0)</f>
        <v>0</v>
      </c>
      <c r="M109">
        <f>IF(SUMPRODUCT(('alle Dateien'!B:B=Bohrungen!B109)*('alle Dateien'!D:D="jpg"))&gt;0,1,0)</f>
        <v>0</v>
      </c>
      <c r="N109">
        <f>IF(SUMPRODUCT(('alle Dateien'!B:B=Bohrungen!B109)*('alle Dateien'!D:D="png"))&gt;0,1,0)</f>
        <v>0</v>
      </c>
      <c r="O109">
        <f>IF(SUMPRODUCT(('alle Dateien'!B:B=Bohrungen!B109)*('alle Dateien'!D:D="xls"))&gt;0,1,0)</f>
        <v>0</v>
      </c>
      <c r="P109">
        <f>IF(SUMPRODUCT(('alle Dateien'!B:B=Bohrungen!B109)*('alle Dateien'!D:D="txt"))&gt;0,1,0)</f>
        <v>0</v>
      </c>
      <c r="Q109">
        <f>IF(SUMPRODUCT(('alle Dateien'!B:B=Bohrungen!B109)*('alle Dateien'!D:D="ZIP oder R"))&gt;0,1,0)</f>
        <v>0</v>
      </c>
      <c r="R109">
        <f>IF(SUMPRODUCT(('alle Dateien'!B:B=Bohrungen!B109)*('alle Dateien'!D:D="tsf"))&gt;0,1,0)</f>
        <v>0</v>
      </c>
      <c r="S109">
        <f>IF(SUMPRODUCT(('alle Dateien'!B:B=Bohrungen!B109)*('alle Dateien'!D:D="sch"))&gt;0,1,0)</f>
        <v>0</v>
      </c>
      <c r="U109" t="str">
        <f t="shared" si="3"/>
        <v>10000000000000000</v>
      </c>
      <c r="V109" t="str">
        <f>VLOOKUP(U109,Kategorie!B:C,2,FALSE)</f>
        <v>pdf</v>
      </c>
    </row>
    <row r="110" spans="1:22" x14ac:dyDescent="0.25">
      <c r="A110">
        <v>109</v>
      </c>
      <c r="B110" t="s">
        <v>2195</v>
      </c>
      <c r="C110" s="2">
        <f>IF(SUMPRODUCT(('alle Dateien'!B:B=Bohrungen!B110)*('alle Dateien'!D:D="pdf"))&gt;0,1,0)</f>
        <v>1</v>
      </c>
      <c r="D110">
        <f>IF(SUMPRODUCT(('alle Dateien'!B:B=Bohrungen!B110)*('alle Dateien'!D:D="tif"))&gt;0,1,0)</f>
        <v>0</v>
      </c>
      <c r="E110">
        <f>IF(SUMPRODUCT(('alle Dateien'!B:B=Bohrungen!B110)*('alle Dateien'!D:D="sdg"))&gt;0,1,0)</f>
        <v>0</v>
      </c>
      <c r="F110">
        <f>IF(SUMPRODUCT(('alle Dateien'!B:B=Bohrungen!B110)*('alle Dateien'!D:D="xlsx"))&gt;0,1,0)</f>
        <v>0</v>
      </c>
      <c r="G110">
        <f>IF(SUMPRODUCT(('alle Dateien'!B:B=Bohrungen!B110)*('alle Dateien'!D:D="docx"))&gt;0,1,0)</f>
        <v>0</v>
      </c>
      <c r="H110">
        <f>IF(SUMPRODUCT(('alle Dateien'!B:B=Bohrungen!B110)*('alle Dateien'!D:D="las"))&gt;0,1,0)</f>
        <v>0</v>
      </c>
      <c r="I110">
        <f>IF(SUMPRODUCT(('alle Dateien'!B:B=Bohrungen!B110)*('alle Dateien'!D:D="db"))&gt;0,1,0)</f>
        <v>0</v>
      </c>
      <c r="J110">
        <f>IF(SUMPRODUCT(('alle Dateien'!B:B=Bohrungen!B110)*('alle Dateien'!D:D="rhistory"))&gt;0,1,0)</f>
        <v>0</v>
      </c>
      <c r="K110">
        <f>IF(SUMPRODUCT(('alle Dateien'!B:B=Bohrungen!B110)*('alle Dateien'!D:D="mdb"))&gt;0,1,0)</f>
        <v>0</v>
      </c>
      <c r="L110">
        <f>IF(SUMPRODUCT(('alle Dateien'!B:B=Bohrungen!B110)*('alle Dateien'!D:D="xml"))&gt;0,1,0)</f>
        <v>0</v>
      </c>
      <c r="M110">
        <f>IF(SUMPRODUCT(('alle Dateien'!B:B=Bohrungen!B110)*('alle Dateien'!D:D="jpg"))&gt;0,1,0)</f>
        <v>0</v>
      </c>
      <c r="N110">
        <f>IF(SUMPRODUCT(('alle Dateien'!B:B=Bohrungen!B110)*('alle Dateien'!D:D="png"))&gt;0,1,0)</f>
        <v>0</v>
      </c>
      <c r="O110">
        <f>IF(SUMPRODUCT(('alle Dateien'!B:B=Bohrungen!B110)*('alle Dateien'!D:D="xls"))&gt;0,1,0)</f>
        <v>0</v>
      </c>
      <c r="P110">
        <f>IF(SUMPRODUCT(('alle Dateien'!B:B=Bohrungen!B110)*('alle Dateien'!D:D="txt"))&gt;0,1,0)</f>
        <v>0</v>
      </c>
      <c r="Q110">
        <f>IF(SUMPRODUCT(('alle Dateien'!B:B=Bohrungen!B110)*('alle Dateien'!D:D="ZIP oder R"))&gt;0,1,0)</f>
        <v>0</v>
      </c>
      <c r="R110">
        <f>IF(SUMPRODUCT(('alle Dateien'!B:B=Bohrungen!B110)*('alle Dateien'!D:D="tsf"))&gt;0,1,0)</f>
        <v>0</v>
      </c>
      <c r="S110">
        <f>IF(SUMPRODUCT(('alle Dateien'!B:B=Bohrungen!B110)*('alle Dateien'!D:D="sch"))&gt;0,1,0)</f>
        <v>0</v>
      </c>
      <c r="U110" t="str">
        <f t="shared" si="3"/>
        <v>10000000000000000</v>
      </c>
      <c r="V110" t="str">
        <f>VLOOKUP(U110,Kategorie!B:C,2,FALSE)</f>
        <v>pdf</v>
      </c>
    </row>
    <row r="111" spans="1:22" x14ac:dyDescent="0.25">
      <c r="A111">
        <v>110</v>
      </c>
      <c r="B111" t="s">
        <v>2196</v>
      </c>
      <c r="C111" s="2">
        <f>IF(SUMPRODUCT(('alle Dateien'!B:B=Bohrungen!B111)*('alle Dateien'!D:D="pdf"))&gt;0,1,0)</f>
        <v>1</v>
      </c>
      <c r="D111">
        <f>IF(SUMPRODUCT(('alle Dateien'!B:B=Bohrungen!B111)*('alle Dateien'!D:D="tif"))&gt;0,1,0)</f>
        <v>0</v>
      </c>
      <c r="E111">
        <f>IF(SUMPRODUCT(('alle Dateien'!B:B=Bohrungen!B111)*('alle Dateien'!D:D="sdg"))&gt;0,1,0)</f>
        <v>0</v>
      </c>
      <c r="F111">
        <f>IF(SUMPRODUCT(('alle Dateien'!B:B=Bohrungen!B111)*('alle Dateien'!D:D="xlsx"))&gt;0,1,0)</f>
        <v>0</v>
      </c>
      <c r="G111">
        <f>IF(SUMPRODUCT(('alle Dateien'!B:B=Bohrungen!B111)*('alle Dateien'!D:D="docx"))&gt;0,1,0)</f>
        <v>0</v>
      </c>
      <c r="H111">
        <f>IF(SUMPRODUCT(('alle Dateien'!B:B=Bohrungen!B111)*('alle Dateien'!D:D="las"))&gt;0,1,0)</f>
        <v>0</v>
      </c>
      <c r="I111">
        <f>IF(SUMPRODUCT(('alle Dateien'!B:B=Bohrungen!B111)*('alle Dateien'!D:D="db"))&gt;0,1,0)</f>
        <v>0</v>
      </c>
      <c r="J111">
        <f>IF(SUMPRODUCT(('alle Dateien'!B:B=Bohrungen!B111)*('alle Dateien'!D:D="rhistory"))&gt;0,1,0)</f>
        <v>0</v>
      </c>
      <c r="K111">
        <f>IF(SUMPRODUCT(('alle Dateien'!B:B=Bohrungen!B111)*('alle Dateien'!D:D="mdb"))&gt;0,1,0)</f>
        <v>0</v>
      </c>
      <c r="L111">
        <f>IF(SUMPRODUCT(('alle Dateien'!B:B=Bohrungen!B111)*('alle Dateien'!D:D="xml"))&gt;0,1,0)</f>
        <v>0</v>
      </c>
      <c r="M111">
        <f>IF(SUMPRODUCT(('alle Dateien'!B:B=Bohrungen!B111)*('alle Dateien'!D:D="jpg"))&gt;0,1,0)</f>
        <v>0</v>
      </c>
      <c r="N111">
        <f>IF(SUMPRODUCT(('alle Dateien'!B:B=Bohrungen!B111)*('alle Dateien'!D:D="png"))&gt;0,1,0)</f>
        <v>0</v>
      </c>
      <c r="O111">
        <f>IF(SUMPRODUCT(('alle Dateien'!B:B=Bohrungen!B111)*('alle Dateien'!D:D="xls"))&gt;0,1,0)</f>
        <v>0</v>
      </c>
      <c r="P111">
        <f>IF(SUMPRODUCT(('alle Dateien'!B:B=Bohrungen!B111)*('alle Dateien'!D:D="txt"))&gt;0,1,0)</f>
        <v>0</v>
      </c>
      <c r="Q111">
        <f>IF(SUMPRODUCT(('alle Dateien'!B:B=Bohrungen!B111)*('alle Dateien'!D:D="ZIP oder R"))&gt;0,1,0)</f>
        <v>0</v>
      </c>
      <c r="R111">
        <f>IF(SUMPRODUCT(('alle Dateien'!B:B=Bohrungen!B111)*('alle Dateien'!D:D="tsf"))&gt;0,1,0)</f>
        <v>0</v>
      </c>
      <c r="S111">
        <f>IF(SUMPRODUCT(('alle Dateien'!B:B=Bohrungen!B111)*('alle Dateien'!D:D="sch"))&gt;0,1,0)</f>
        <v>0</v>
      </c>
      <c r="U111" t="str">
        <f t="shared" si="3"/>
        <v>10000000000000000</v>
      </c>
      <c r="V111" t="str">
        <f>VLOOKUP(U111,Kategorie!B:C,2,FALSE)</f>
        <v>pdf</v>
      </c>
    </row>
    <row r="112" spans="1:22" x14ac:dyDescent="0.25">
      <c r="A112">
        <v>111</v>
      </c>
      <c r="B112" t="s">
        <v>2197</v>
      </c>
      <c r="C112" s="2">
        <f>IF(SUMPRODUCT(('alle Dateien'!B:B=Bohrungen!B112)*('alle Dateien'!D:D="pdf"))&gt;0,1,0)</f>
        <v>1</v>
      </c>
      <c r="D112">
        <f>IF(SUMPRODUCT(('alle Dateien'!B:B=Bohrungen!B112)*('alle Dateien'!D:D="tif"))&gt;0,1,0)</f>
        <v>0</v>
      </c>
      <c r="E112">
        <f>IF(SUMPRODUCT(('alle Dateien'!B:B=Bohrungen!B112)*('alle Dateien'!D:D="sdg"))&gt;0,1,0)</f>
        <v>0</v>
      </c>
      <c r="F112">
        <f>IF(SUMPRODUCT(('alle Dateien'!B:B=Bohrungen!B112)*('alle Dateien'!D:D="xlsx"))&gt;0,1,0)</f>
        <v>0</v>
      </c>
      <c r="G112">
        <f>IF(SUMPRODUCT(('alle Dateien'!B:B=Bohrungen!B112)*('alle Dateien'!D:D="docx"))&gt;0,1,0)</f>
        <v>0</v>
      </c>
      <c r="H112">
        <f>IF(SUMPRODUCT(('alle Dateien'!B:B=Bohrungen!B112)*('alle Dateien'!D:D="las"))&gt;0,1,0)</f>
        <v>0</v>
      </c>
      <c r="I112">
        <f>IF(SUMPRODUCT(('alle Dateien'!B:B=Bohrungen!B112)*('alle Dateien'!D:D="db"))&gt;0,1,0)</f>
        <v>0</v>
      </c>
      <c r="J112">
        <f>IF(SUMPRODUCT(('alle Dateien'!B:B=Bohrungen!B112)*('alle Dateien'!D:D="rhistory"))&gt;0,1,0)</f>
        <v>0</v>
      </c>
      <c r="K112">
        <f>IF(SUMPRODUCT(('alle Dateien'!B:B=Bohrungen!B112)*('alle Dateien'!D:D="mdb"))&gt;0,1,0)</f>
        <v>0</v>
      </c>
      <c r="L112">
        <f>IF(SUMPRODUCT(('alle Dateien'!B:B=Bohrungen!B112)*('alle Dateien'!D:D="xml"))&gt;0,1,0)</f>
        <v>0</v>
      </c>
      <c r="M112">
        <f>IF(SUMPRODUCT(('alle Dateien'!B:B=Bohrungen!B112)*('alle Dateien'!D:D="jpg"))&gt;0,1,0)</f>
        <v>0</v>
      </c>
      <c r="N112">
        <f>IF(SUMPRODUCT(('alle Dateien'!B:B=Bohrungen!B112)*('alle Dateien'!D:D="png"))&gt;0,1,0)</f>
        <v>0</v>
      </c>
      <c r="O112">
        <f>IF(SUMPRODUCT(('alle Dateien'!B:B=Bohrungen!B112)*('alle Dateien'!D:D="xls"))&gt;0,1,0)</f>
        <v>0</v>
      </c>
      <c r="P112">
        <f>IF(SUMPRODUCT(('alle Dateien'!B:B=Bohrungen!B112)*('alle Dateien'!D:D="txt"))&gt;0,1,0)</f>
        <v>0</v>
      </c>
      <c r="Q112">
        <f>IF(SUMPRODUCT(('alle Dateien'!B:B=Bohrungen!B112)*('alle Dateien'!D:D="ZIP oder R"))&gt;0,1,0)</f>
        <v>0</v>
      </c>
      <c r="R112">
        <f>IF(SUMPRODUCT(('alle Dateien'!B:B=Bohrungen!B112)*('alle Dateien'!D:D="tsf"))&gt;0,1,0)</f>
        <v>0</v>
      </c>
      <c r="S112">
        <f>IF(SUMPRODUCT(('alle Dateien'!B:B=Bohrungen!B112)*('alle Dateien'!D:D="sch"))&gt;0,1,0)</f>
        <v>0</v>
      </c>
      <c r="U112" t="str">
        <f t="shared" si="3"/>
        <v>10000000000000000</v>
      </c>
      <c r="V112" t="str">
        <f>VLOOKUP(U112,Kategorie!B:C,2,FALSE)</f>
        <v>pdf</v>
      </c>
    </row>
    <row r="113" spans="1:22" x14ac:dyDescent="0.25">
      <c r="A113">
        <v>112</v>
      </c>
      <c r="B113" t="s">
        <v>2198</v>
      </c>
      <c r="C113" s="2">
        <f>IF(SUMPRODUCT(('alle Dateien'!B:B=Bohrungen!B113)*('alle Dateien'!D:D="pdf"))&gt;0,1,0)</f>
        <v>1</v>
      </c>
      <c r="D113">
        <f>IF(SUMPRODUCT(('alle Dateien'!B:B=Bohrungen!B113)*('alle Dateien'!D:D="tif"))&gt;0,1,0)</f>
        <v>0</v>
      </c>
      <c r="E113">
        <f>IF(SUMPRODUCT(('alle Dateien'!B:B=Bohrungen!B113)*('alle Dateien'!D:D="sdg"))&gt;0,1,0)</f>
        <v>0</v>
      </c>
      <c r="F113">
        <f>IF(SUMPRODUCT(('alle Dateien'!B:B=Bohrungen!B113)*('alle Dateien'!D:D="xlsx"))&gt;0,1,0)</f>
        <v>0</v>
      </c>
      <c r="G113">
        <f>IF(SUMPRODUCT(('alle Dateien'!B:B=Bohrungen!B113)*('alle Dateien'!D:D="docx"))&gt;0,1,0)</f>
        <v>0</v>
      </c>
      <c r="H113">
        <f>IF(SUMPRODUCT(('alle Dateien'!B:B=Bohrungen!B113)*('alle Dateien'!D:D="las"))&gt;0,1,0)</f>
        <v>0</v>
      </c>
      <c r="I113">
        <f>IF(SUMPRODUCT(('alle Dateien'!B:B=Bohrungen!B113)*('alle Dateien'!D:D="db"))&gt;0,1,0)</f>
        <v>0</v>
      </c>
      <c r="J113">
        <f>IF(SUMPRODUCT(('alle Dateien'!B:B=Bohrungen!B113)*('alle Dateien'!D:D="rhistory"))&gt;0,1,0)</f>
        <v>0</v>
      </c>
      <c r="K113">
        <f>IF(SUMPRODUCT(('alle Dateien'!B:B=Bohrungen!B113)*('alle Dateien'!D:D="mdb"))&gt;0,1,0)</f>
        <v>0</v>
      </c>
      <c r="L113">
        <f>IF(SUMPRODUCT(('alle Dateien'!B:B=Bohrungen!B113)*('alle Dateien'!D:D="xml"))&gt;0,1,0)</f>
        <v>0</v>
      </c>
      <c r="M113">
        <f>IF(SUMPRODUCT(('alle Dateien'!B:B=Bohrungen!B113)*('alle Dateien'!D:D="jpg"))&gt;0,1,0)</f>
        <v>0</v>
      </c>
      <c r="N113">
        <f>IF(SUMPRODUCT(('alle Dateien'!B:B=Bohrungen!B113)*('alle Dateien'!D:D="png"))&gt;0,1,0)</f>
        <v>0</v>
      </c>
      <c r="O113">
        <f>IF(SUMPRODUCT(('alle Dateien'!B:B=Bohrungen!B113)*('alle Dateien'!D:D="xls"))&gt;0,1,0)</f>
        <v>0</v>
      </c>
      <c r="P113">
        <f>IF(SUMPRODUCT(('alle Dateien'!B:B=Bohrungen!B113)*('alle Dateien'!D:D="txt"))&gt;0,1,0)</f>
        <v>0</v>
      </c>
      <c r="Q113">
        <f>IF(SUMPRODUCT(('alle Dateien'!B:B=Bohrungen!B113)*('alle Dateien'!D:D="ZIP oder R"))&gt;0,1,0)</f>
        <v>0</v>
      </c>
      <c r="R113">
        <f>IF(SUMPRODUCT(('alle Dateien'!B:B=Bohrungen!B113)*('alle Dateien'!D:D="tsf"))&gt;0,1,0)</f>
        <v>0</v>
      </c>
      <c r="S113">
        <f>IF(SUMPRODUCT(('alle Dateien'!B:B=Bohrungen!B113)*('alle Dateien'!D:D="sch"))&gt;0,1,0)</f>
        <v>0</v>
      </c>
      <c r="U113" t="str">
        <f t="shared" si="3"/>
        <v>10000000000000000</v>
      </c>
      <c r="V113" t="str">
        <f>VLOOKUP(U113,Kategorie!B:C,2,FALSE)</f>
        <v>pdf</v>
      </c>
    </row>
    <row r="114" spans="1:22" x14ac:dyDescent="0.25">
      <c r="A114">
        <v>113</v>
      </c>
      <c r="B114" t="s">
        <v>2199</v>
      </c>
      <c r="C114" s="2">
        <f>IF(SUMPRODUCT(('alle Dateien'!B:B=Bohrungen!B114)*('alle Dateien'!D:D="pdf"))&gt;0,1,0)</f>
        <v>1</v>
      </c>
      <c r="D114">
        <f>IF(SUMPRODUCT(('alle Dateien'!B:B=Bohrungen!B114)*('alle Dateien'!D:D="tif"))&gt;0,1,0)</f>
        <v>0</v>
      </c>
      <c r="E114">
        <f>IF(SUMPRODUCT(('alle Dateien'!B:B=Bohrungen!B114)*('alle Dateien'!D:D="sdg"))&gt;0,1,0)</f>
        <v>0</v>
      </c>
      <c r="F114">
        <f>IF(SUMPRODUCT(('alle Dateien'!B:B=Bohrungen!B114)*('alle Dateien'!D:D="xlsx"))&gt;0,1,0)</f>
        <v>0</v>
      </c>
      <c r="G114">
        <f>IF(SUMPRODUCT(('alle Dateien'!B:B=Bohrungen!B114)*('alle Dateien'!D:D="docx"))&gt;0,1,0)</f>
        <v>0</v>
      </c>
      <c r="H114">
        <f>IF(SUMPRODUCT(('alle Dateien'!B:B=Bohrungen!B114)*('alle Dateien'!D:D="las"))&gt;0,1,0)</f>
        <v>0</v>
      </c>
      <c r="I114">
        <f>IF(SUMPRODUCT(('alle Dateien'!B:B=Bohrungen!B114)*('alle Dateien'!D:D="db"))&gt;0,1,0)</f>
        <v>0</v>
      </c>
      <c r="J114">
        <f>IF(SUMPRODUCT(('alle Dateien'!B:B=Bohrungen!B114)*('alle Dateien'!D:D="rhistory"))&gt;0,1,0)</f>
        <v>0</v>
      </c>
      <c r="K114">
        <f>IF(SUMPRODUCT(('alle Dateien'!B:B=Bohrungen!B114)*('alle Dateien'!D:D="mdb"))&gt;0,1,0)</f>
        <v>0</v>
      </c>
      <c r="L114">
        <f>IF(SUMPRODUCT(('alle Dateien'!B:B=Bohrungen!B114)*('alle Dateien'!D:D="xml"))&gt;0,1,0)</f>
        <v>0</v>
      </c>
      <c r="M114">
        <f>IF(SUMPRODUCT(('alle Dateien'!B:B=Bohrungen!B114)*('alle Dateien'!D:D="jpg"))&gt;0,1,0)</f>
        <v>0</v>
      </c>
      <c r="N114">
        <f>IF(SUMPRODUCT(('alle Dateien'!B:B=Bohrungen!B114)*('alle Dateien'!D:D="png"))&gt;0,1,0)</f>
        <v>0</v>
      </c>
      <c r="O114">
        <f>IF(SUMPRODUCT(('alle Dateien'!B:B=Bohrungen!B114)*('alle Dateien'!D:D="xls"))&gt;0,1,0)</f>
        <v>0</v>
      </c>
      <c r="P114">
        <f>IF(SUMPRODUCT(('alle Dateien'!B:B=Bohrungen!B114)*('alle Dateien'!D:D="txt"))&gt;0,1,0)</f>
        <v>0</v>
      </c>
      <c r="Q114">
        <f>IF(SUMPRODUCT(('alle Dateien'!B:B=Bohrungen!B114)*('alle Dateien'!D:D="ZIP oder R"))&gt;0,1,0)</f>
        <v>0</v>
      </c>
      <c r="R114">
        <f>IF(SUMPRODUCT(('alle Dateien'!B:B=Bohrungen!B114)*('alle Dateien'!D:D="tsf"))&gt;0,1,0)</f>
        <v>0</v>
      </c>
      <c r="S114">
        <f>IF(SUMPRODUCT(('alle Dateien'!B:B=Bohrungen!B114)*('alle Dateien'!D:D="sch"))&gt;0,1,0)</f>
        <v>0</v>
      </c>
      <c r="U114" t="str">
        <f t="shared" si="3"/>
        <v>10000000000000000</v>
      </c>
      <c r="V114" t="str">
        <f>VLOOKUP(U114,Kategorie!B:C,2,FALSE)</f>
        <v>pdf</v>
      </c>
    </row>
    <row r="115" spans="1:22" x14ac:dyDescent="0.25">
      <c r="A115">
        <v>114</v>
      </c>
      <c r="B115" t="s">
        <v>2200</v>
      </c>
      <c r="C115" s="2">
        <f>IF(SUMPRODUCT(('alle Dateien'!B:B=Bohrungen!B115)*('alle Dateien'!D:D="pdf"))&gt;0,1,0)</f>
        <v>1</v>
      </c>
      <c r="D115">
        <f>IF(SUMPRODUCT(('alle Dateien'!B:B=Bohrungen!B115)*('alle Dateien'!D:D="tif"))&gt;0,1,0)</f>
        <v>0</v>
      </c>
      <c r="E115">
        <f>IF(SUMPRODUCT(('alle Dateien'!B:B=Bohrungen!B115)*('alle Dateien'!D:D="sdg"))&gt;0,1,0)</f>
        <v>0</v>
      </c>
      <c r="F115">
        <f>IF(SUMPRODUCT(('alle Dateien'!B:B=Bohrungen!B115)*('alle Dateien'!D:D="xlsx"))&gt;0,1,0)</f>
        <v>0</v>
      </c>
      <c r="G115">
        <f>IF(SUMPRODUCT(('alle Dateien'!B:B=Bohrungen!B115)*('alle Dateien'!D:D="docx"))&gt;0,1,0)</f>
        <v>0</v>
      </c>
      <c r="H115">
        <f>IF(SUMPRODUCT(('alle Dateien'!B:B=Bohrungen!B115)*('alle Dateien'!D:D="las"))&gt;0,1,0)</f>
        <v>0</v>
      </c>
      <c r="I115">
        <f>IF(SUMPRODUCT(('alle Dateien'!B:B=Bohrungen!B115)*('alle Dateien'!D:D="db"))&gt;0,1,0)</f>
        <v>0</v>
      </c>
      <c r="J115">
        <f>IF(SUMPRODUCT(('alle Dateien'!B:B=Bohrungen!B115)*('alle Dateien'!D:D="rhistory"))&gt;0,1,0)</f>
        <v>0</v>
      </c>
      <c r="K115">
        <f>IF(SUMPRODUCT(('alle Dateien'!B:B=Bohrungen!B115)*('alle Dateien'!D:D="mdb"))&gt;0,1,0)</f>
        <v>0</v>
      </c>
      <c r="L115">
        <f>IF(SUMPRODUCT(('alle Dateien'!B:B=Bohrungen!B115)*('alle Dateien'!D:D="xml"))&gt;0,1,0)</f>
        <v>0</v>
      </c>
      <c r="M115">
        <f>IF(SUMPRODUCT(('alle Dateien'!B:B=Bohrungen!B115)*('alle Dateien'!D:D="jpg"))&gt;0,1,0)</f>
        <v>0</v>
      </c>
      <c r="N115">
        <f>IF(SUMPRODUCT(('alle Dateien'!B:B=Bohrungen!B115)*('alle Dateien'!D:D="png"))&gt;0,1,0)</f>
        <v>0</v>
      </c>
      <c r="O115">
        <f>IF(SUMPRODUCT(('alle Dateien'!B:B=Bohrungen!B115)*('alle Dateien'!D:D="xls"))&gt;0,1,0)</f>
        <v>0</v>
      </c>
      <c r="P115">
        <f>IF(SUMPRODUCT(('alle Dateien'!B:B=Bohrungen!B115)*('alle Dateien'!D:D="txt"))&gt;0,1,0)</f>
        <v>0</v>
      </c>
      <c r="Q115">
        <f>IF(SUMPRODUCT(('alle Dateien'!B:B=Bohrungen!B115)*('alle Dateien'!D:D="ZIP oder R"))&gt;0,1,0)</f>
        <v>0</v>
      </c>
      <c r="R115">
        <f>IF(SUMPRODUCT(('alle Dateien'!B:B=Bohrungen!B115)*('alle Dateien'!D:D="tsf"))&gt;0,1,0)</f>
        <v>0</v>
      </c>
      <c r="S115">
        <f>IF(SUMPRODUCT(('alle Dateien'!B:B=Bohrungen!B115)*('alle Dateien'!D:D="sch"))&gt;0,1,0)</f>
        <v>0</v>
      </c>
      <c r="U115" t="str">
        <f t="shared" si="3"/>
        <v>10000000000000000</v>
      </c>
      <c r="V115" t="str">
        <f>VLOOKUP(U115,Kategorie!B:C,2,FALSE)</f>
        <v>pdf</v>
      </c>
    </row>
    <row r="116" spans="1:22" x14ac:dyDescent="0.25">
      <c r="A116">
        <v>115</v>
      </c>
      <c r="B116" t="s">
        <v>2201</v>
      </c>
      <c r="C116" s="2">
        <f>IF(SUMPRODUCT(('alle Dateien'!B:B=Bohrungen!B116)*('alle Dateien'!D:D="pdf"))&gt;0,1,0)</f>
        <v>1</v>
      </c>
      <c r="D116">
        <f>IF(SUMPRODUCT(('alle Dateien'!B:B=Bohrungen!B116)*('alle Dateien'!D:D="tif"))&gt;0,1,0)</f>
        <v>0</v>
      </c>
      <c r="E116">
        <f>IF(SUMPRODUCT(('alle Dateien'!B:B=Bohrungen!B116)*('alle Dateien'!D:D="sdg"))&gt;0,1,0)</f>
        <v>0</v>
      </c>
      <c r="F116">
        <f>IF(SUMPRODUCT(('alle Dateien'!B:B=Bohrungen!B116)*('alle Dateien'!D:D="xlsx"))&gt;0,1,0)</f>
        <v>0</v>
      </c>
      <c r="G116">
        <f>IF(SUMPRODUCT(('alle Dateien'!B:B=Bohrungen!B116)*('alle Dateien'!D:D="docx"))&gt;0,1,0)</f>
        <v>0</v>
      </c>
      <c r="H116">
        <f>IF(SUMPRODUCT(('alle Dateien'!B:B=Bohrungen!B116)*('alle Dateien'!D:D="las"))&gt;0,1,0)</f>
        <v>0</v>
      </c>
      <c r="I116">
        <f>IF(SUMPRODUCT(('alle Dateien'!B:B=Bohrungen!B116)*('alle Dateien'!D:D="db"))&gt;0,1,0)</f>
        <v>0</v>
      </c>
      <c r="J116">
        <f>IF(SUMPRODUCT(('alle Dateien'!B:B=Bohrungen!B116)*('alle Dateien'!D:D="rhistory"))&gt;0,1,0)</f>
        <v>0</v>
      </c>
      <c r="K116">
        <f>IF(SUMPRODUCT(('alle Dateien'!B:B=Bohrungen!B116)*('alle Dateien'!D:D="mdb"))&gt;0,1,0)</f>
        <v>0</v>
      </c>
      <c r="L116">
        <f>IF(SUMPRODUCT(('alle Dateien'!B:B=Bohrungen!B116)*('alle Dateien'!D:D="xml"))&gt;0,1,0)</f>
        <v>0</v>
      </c>
      <c r="M116">
        <f>IF(SUMPRODUCT(('alle Dateien'!B:B=Bohrungen!B116)*('alle Dateien'!D:D="jpg"))&gt;0,1,0)</f>
        <v>0</v>
      </c>
      <c r="N116">
        <f>IF(SUMPRODUCT(('alle Dateien'!B:B=Bohrungen!B116)*('alle Dateien'!D:D="png"))&gt;0,1,0)</f>
        <v>0</v>
      </c>
      <c r="O116">
        <f>IF(SUMPRODUCT(('alle Dateien'!B:B=Bohrungen!B116)*('alle Dateien'!D:D="xls"))&gt;0,1,0)</f>
        <v>0</v>
      </c>
      <c r="P116">
        <f>IF(SUMPRODUCT(('alle Dateien'!B:B=Bohrungen!B116)*('alle Dateien'!D:D="txt"))&gt;0,1,0)</f>
        <v>0</v>
      </c>
      <c r="Q116">
        <f>IF(SUMPRODUCT(('alle Dateien'!B:B=Bohrungen!B116)*('alle Dateien'!D:D="ZIP oder R"))&gt;0,1,0)</f>
        <v>0</v>
      </c>
      <c r="R116">
        <f>IF(SUMPRODUCT(('alle Dateien'!B:B=Bohrungen!B116)*('alle Dateien'!D:D="tsf"))&gt;0,1,0)</f>
        <v>0</v>
      </c>
      <c r="S116">
        <f>IF(SUMPRODUCT(('alle Dateien'!B:B=Bohrungen!B116)*('alle Dateien'!D:D="sch"))&gt;0,1,0)</f>
        <v>0</v>
      </c>
      <c r="U116" t="str">
        <f t="shared" si="3"/>
        <v>10000000000000000</v>
      </c>
      <c r="V116" t="str">
        <f>VLOOKUP(U116,Kategorie!B:C,2,FALSE)</f>
        <v>pdf</v>
      </c>
    </row>
    <row r="117" spans="1:22" x14ac:dyDescent="0.25">
      <c r="A117">
        <v>116</v>
      </c>
      <c r="B117" t="s">
        <v>2202</v>
      </c>
      <c r="C117" s="2">
        <f>IF(SUMPRODUCT(('alle Dateien'!B:B=Bohrungen!B117)*('alle Dateien'!D:D="pdf"))&gt;0,1,0)</f>
        <v>1</v>
      </c>
      <c r="D117">
        <f>IF(SUMPRODUCT(('alle Dateien'!B:B=Bohrungen!B117)*('alle Dateien'!D:D="tif"))&gt;0,1,0)</f>
        <v>0</v>
      </c>
      <c r="E117">
        <f>IF(SUMPRODUCT(('alle Dateien'!B:B=Bohrungen!B117)*('alle Dateien'!D:D="sdg"))&gt;0,1,0)</f>
        <v>1</v>
      </c>
      <c r="F117">
        <f>IF(SUMPRODUCT(('alle Dateien'!B:B=Bohrungen!B117)*('alle Dateien'!D:D="xlsx"))&gt;0,1,0)</f>
        <v>1</v>
      </c>
      <c r="G117">
        <f>IF(SUMPRODUCT(('alle Dateien'!B:B=Bohrungen!B117)*('alle Dateien'!D:D="docx"))&gt;0,1,0)</f>
        <v>0</v>
      </c>
      <c r="H117">
        <f>IF(SUMPRODUCT(('alle Dateien'!B:B=Bohrungen!B117)*('alle Dateien'!D:D="las"))&gt;0,1,0)</f>
        <v>1</v>
      </c>
      <c r="I117">
        <f>IF(SUMPRODUCT(('alle Dateien'!B:B=Bohrungen!B117)*('alle Dateien'!D:D="db"))&gt;0,1,0)</f>
        <v>0</v>
      </c>
      <c r="J117">
        <f>IF(SUMPRODUCT(('alle Dateien'!B:B=Bohrungen!B117)*('alle Dateien'!D:D="rhistory"))&gt;0,1,0)</f>
        <v>0</v>
      </c>
      <c r="K117">
        <f>IF(SUMPRODUCT(('alle Dateien'!B:B=Bohrungen!B117)*('alle Dateien'!D:D="mdb"))&gt;0,1,0)</f>
        <v>0</v>
      </c>
      <c r="L117">
        <f>IF(SUMPRODUCT(('alle Dateien'!B:B=Bohrungen!B117)*('alle Dateien'!D:D="xml"))&gt;0,1,0)</f>
        <v>0</v>
      </c>
      <c r="M117">
        <f>IF(SUMPRODUCT(('alle Dateien'!B:B=Bohrungen!B117)*('alle Dateien'!D:D="jpg"))&gt;0,1,0)</f>
        <v>0</v>
      </c>
      <c r="N117">
        <f>IF(SUMPRODUCT(('alle Dateien'!B:B=Bohrungen!B117)*('alle Dateien'!D:D="png"))&gt;0,1,0)</f>
        <v>0</v>
      </c>
      <c r="O117">
        <f>IF(SUMPRODUCT(('alle Dateien'!B:B=Bohrungen!B117)*('alle Dateien'!D:D="xls"))&gt;0,1,0)</f>
        <v>0</v>
      </c>
      <c r="P117">
        <f>IF(SUMPRODUCT(('alle Dateien'!B:B=Bohrungen!B117)*('alle Dateien'!D:D="txt"))&gt;0,1,0)</f>
        <v>0</v>
      </c>
      <c r="Q117">
        <f>IF(SUMPRODUCT(('alle Dateien'!B:B=Bohrungen!B117)*('alle Dateien'!D:D="ZIP oder R"))&gt;0,1,0)</f>
        <v>0</v>
      </c>
      <c r="R117">
        <f>IF(SUMPRODUCT(('alle Dateien'!B:B=Bohrungen!B117)*('alle Dateien'!D:D="tsf"))&gt;0,1,0)</f>
        <v>0</v>
      </c>
      <c r="S117">
        <f>IF(SUMPRODUCT(('alle Dateien'!B:B=Bohrungen!B117)*('alle Dateien'!D:D="sch"))&gt;0,1,0)</f>
        <v>0</v>
      </c>
      <c r="U117" t="str">
        <f t="shared" si="3"/>
        <v>10110100000000000</v>
      </c>
      <c r="V117" t="str">
        <f>VLOOKUP(U117,Kategorie!B:C,2,FALSE)</f>
        <v>pdf/ sdg/ xlsx/ las</v>
      </c>
    </row>
    <row r="118" spans="1:22" x14ac:dyDescent="0.25">
      <c r="A118">
        <v>117</v>
      </c>
      <c r="B118" t="s">
        <v>2203</v>
      </c>
      <c r="C118" s="2">
        <f>IF(SUMPRODUCT(('alle Dateien'!B:B=Bohrungen!B118)*('alle Dateien'!D:D="pdf"))&gt;0,1,0)</f>
        <v>1</v>
      </c>
      <c r="D118">
        <f>IF(SUMPRODUCT(('alle Dateien'!B:B=Bohrungen!B118)*('alle Dateien'!D:D="tif"))&gt;0,1,0)</f>
        <v>0</v>
      </c>
      <c r="E118">
        <f>IF(SUMPRODUCT(('alle Dateien'!B:B=Bohrungen!B118)*('alle Dateien'!D:D="sdg"))&gt;0,1,0)</f>
        <v>0</v>
      </c>
      <c r="F118">
        <f>IF(SUMPRODUCT(('alle Dateien'!B:B=Bohrungen!B118)*('alle Dateien'!D:D="xlsx"))&gt;0,1,0)</f>
        <v>0</v>
      </c>
      <c r="G118">
        <f>IF(SUMPRODUCT(('alle Dateien'!B:B=Bohrungen!B118)*('alle Dateien'!D:D="docx"))&gt;0,1,0)</f>
        <v>0</v>
      </c>
      <c r="H118">
        <f>IF(SUMPRODUCT(('alle Dateien'!B:B=Bohrungen!B118)*('alle Dateien'!D:D="las"))&gt;0,1,0)</f>
        <v>0</v>
      </c>
      <c r="I118">
        <f>IF(SUMPRODUCT(('alle Dateien'!B:B=Bohrungen!B118)*('alle Dateien'!D:D="db"))&gt;0,1,0)</f>
        <v>0</v>
      </c>
      <c r="J118">
        <f>IF(SUMPRODUCT(('alle Dateien'!B:B=Bohrungen!B118)*('alle Dateien'!D:D="rhistory"))&gt;0,1,0)</f>
        <v>0</v>
      </c>
      <c r="K118">
        <f>IF(SUMPRODUCT(('alle Dateien'!B:B=Bohrungen!B118)*('alle Dateien'!D:D="mdb"))&gt;0,1,0)</f>
        <v>0</v>
      </c>
      <c r="L118">
        <f>IF(SUMPRODUCT(('alle Dateien'!B:B=Bohrungen!B118)*('alle Dateien'!D:D="xml"))&gt;0,1,0)</f>
        <v>0</v>
      </c>
      <c r="M118">
        <f>IF(SUMPRODUCT(('alle Dateien'!B:B=Bohrungen!B118)*('alle Dateien'!D:D="jpg"))&gt;0,1,0)</f>
        <v>0</v>
      </c>
      <c r="N118">
        <f>IF(SUMPRODUCT(('alle Dateien'!B:B=Bohrungen!B118)*('alle Dateien'!D:D="png"))&gt;0,1,0)</f>
        <v>0</v>
      </c>
      <c r="O118">
        <f>IF(SUMPRODUCT(('alle Dateien'!B:B=Bohrungen!B118)*('alle Dateien'!D:D="xls"))&gt;0,1,0)</f>
        <v>0</v>
      </c>
      <c r="P118">
        <f>IF(SUMPRODUCT(('alle Dateien'!B:B=Bohrungen!B118)*('alle Dateien'!D:D="txt"))&gt;0,1,0)</f>
        <v>0</v>
      </c>
      <c r="Q118">
        <f>IF(SUMPRODUCT(('alle Dateien'!B:B=Bohrungen!B118)*('alle Dateien'!D:D="ZIP oder R"))&gt;0,1,0)</f>
        <v>0</v>
      </c>
      <c r="R118">
        <f>IF(SUMPRODUCT(('alle Dateien'!B:B=Bohrungen!B118)*('alle Dateien'!D:D="tsf"))&gt;0,1,0)</f>
        <v>0</v>
      </c>
      <c r="S118">
        <f>IF(SUMPRODUCT(('alle Dateien'!B:B=Bohrungen!B118)*('alle Dateien'!D:D="sch"))&gt;0,1,0)</f>
        <v>0</v>
      </c>
      <c r="U118" t="str">
        <f t="shared" si="3"/>
        <v>10000000000000000</v>
      </c>
      <c r="V118" t="str">
        <f>VLOOKUP(U118,Kategorie!B:C,2,FALSE)</f>
        <v>pdf</v>
      </c>
    </row>
    <row r="119" spans="1:22" x14ac:dyDescent="0.25">
      <c r="A119">
        <v>118</v>
      </c>
      <c r="B119" t="s">
        <v>2204</v>
      </c>
      <c r="C119" s="2">
        <f>IF(SUMPRODUCT(('alle Dateien'!B:B=Bohrungen!B119)*('alle Dateien'!D:D="pdf"))&gt;0,1,0)</f>
        <v>1</v>
      </c>
      <c r="D119">
        <f>IF(SUMPRODUCT(('alle Dateien'!B:B=Bohrungen!B119)*('alle Dateien'!D:D="tif"))&gt;0,1,0)</f>
        <v>0</v>
      </c>
      <c r="E119">
        <f>IF(SUMPRODUCT(('alle Dateien'!B:B=Bohrungen!B119)*('alle Dateien'!D:D="sdg"))&gt;0,1,0)</f>
        <v>0</v>
      </c>
      <c r="F119">
        <f>IF(SUMPRODUCT(('alle Dateien'!B:B=Bohrungen!B119)*('alle Dateien'!D:D="xlsx"))&gt;0,1,0)</f>
        <v>0</v>
      </c>
      <c r="G119">
        <f>IF(SUMPRODUCT(('alle Dateien'!B:B=Bohrungen!B119)*('alle Dateien'!D:D="docx"))&gt;0,1,0)</f>
        <v>0</v>
      </c>
      <c r="H119">
        <f>IF(SUMPRODUCT(('alle Dateien'!B:B=Bohrungen!B119)*('alle Dateien'!D:D="las"))&gt;0,1,0)</f>
        <v>0</v>
      </c>
      <c r="I119">
        <f>IF(SUMPRODUCT(('alle Dateien'!B:B=Bohrungen!B119)*('alle Dateien'!D:D="db"))&gt;0,1,0)</f>
        <v>0</v>
      </c>
      <c r="J119">
        <f>IF(SUMPRODUCT(('alle Dateien'!B:B=Bohrungen!B119)*('alle Dateien'!D:D="rhistory"))&gt;0,1,0)</f>
        <v>0</v>
      </c>
      <c r="K119">
        <f>IF(SUMPRODUCT(('alle Dateien'!B:B=Bohrungen!B119)*('alle Dateien'!D:D="mdb"))&gt;0,1,0)</f>
        <v>0</v>
      </c>
      <c r="L119">
        <f>IF(SUMPRODUCT(('alle Dateien'!B:B=Bohrungen!B119)*('alle Dateien'!D:D="xml"))&gt;0,1,0)</f>
        <v>0</v>
      </c>
      <c r="M119">
        <f>IF(SUMPRODUCT(('alle Dateien'!B:B=Bohrungen!B119)*('alle Dateien'!D:D="jpg"))&gt;0,1,0)</f>
        <v>0</v>
      </c>
      <c r="N119">
        <f>IF(SUMPRODUCT(('alle Dateien'!B:B=Bohrungen!B119)*('alle Dateien'!D:D="png"))&gt;0,1,0)</f>
        <v>0</v>
      </c>
      <c r="O119">
        <f>IF(SUMPRODUCT(('alle Dateien'!B:B=Bohrungen!B119)*('alle Dateien'!D:D="xls"))&gt;0,1,0)</f>
        <v>0</v>
      </c>
      <c r="P119">
        <f>IF(SUMPRODUCT(('alle Dateien'!B:B=Bohrungen!B119)*('alle Dateien'!D:D="txt"))&gt;0,1,0)</f>
        <v>0</v>
      </c>
      <c r="Q119">
        <f>IF(SUMPRODUCT(('alle Dateien'!B:B=Bohrungen!B119)*('alle Dateien'!D:D="ZIP oder R"))&gt;0,1,0)</f>
        <v>0</v>
      </c>
      <c r="R119">
        <f>IF(SUMPRODUCT(('alle Dateien'!B:B=Bohrungen!B119)*('alle Dateien'!D:D="tsf"))&gt;0,1,0)</f>
        <v>0</v>
      </c>
      <c r="S119">
        <f>IF(SUMPRODUCT(('alle Dateien'!B:B=Bohrungen!B119)*('alle Dateien'!D:D="sch"))&gt;0,1,0)</f>
        <v>0</v>
      </c>
      <c r="U119" t="str">
        <f t="shared" si="3"/>
        <v>10000000000000000</v>
      </c>
      <c r="V119" t="str">
        <f>VLOOKUP(U119,Kategorie!B:C,2,FALSE)</f>
        <v>pdf</v>
      </c>
    </row>
    <row r="120" spans="1:22" x14ac:dyDescent="0.25">
      <c r="A120">
        <v>119</v>
      </c>
      <c r="B120" t="s">
        <v>2205</v>
      </c>
      <c r="C120" s="2">
        <f>IF(SUMPRODUCT(('alle Dateien'!B:B=Bohrungen!B120)*('alle Dateien'!D:D="pdf"))&gt;0,1,0)</f>
        <v>1</v>
      </c>
      <c r="D120">
        <f>IF(SUMPRODUCT(('alle Dateien'!B:B=Bohrungen!B120)*('alle Dateien'!D:D="tif"))&gt;0,1,0)</f>
        <v>0</v>
      </c>
      <c r="E120">
        <f>IF(SUMPRODUCT(('alle Dateien'!B:B=Bohrungen!B120)*('alle Dateien'!D:D="sdg"))&gt;0,1,0)</f>
        <v>0</v>
      </c>
      <c r="F120">
        <f>IF(SUMPRODUCT(('alle Dateien'!B:B=Bohrungen!B120)*('alle Dateien'!D:D="xlsx"))&gt;0,1,0)</f>
        <v>0</v>
      </c>
      <c r="G120">
        <f>IF(SUMPRODUCT(('alle Dateien'!B:B=Bohrungen!B120)*('alle Dateien'!D:D="docx"))&gt;0,1,0)</f>
        <v>0</v>
      </c>
      <c r="H120">
        <f>IF(SUMPRODUCT(('alle Dateien'!B:B=Bohrungen!B120)*('alle Dateien'!D:D="las"))&gt;0,1,0)</f>
        <v>0</v>
      </c>
      <c r="I120">
        <f>IF(SUMPRODUCT(('alle Dateien'!B:B=Bohrungen!B120)*('alle Dateien'!D:D="db"))&gt;0,1,0)</f>
        <v>0</v>
      </c>
      <c r="J120">
        <f>IF(SUMPRODUCT(('alle Dateien'!B:B=Bohrungen!B120)*('alle Dateien'!D:D="rhistory"))&gt;0,1,0)</f>
        <v>0</v>
      </c>
      <c r="K120">
        <f>IF(SUMPRODUCT(('alle Dateien'!B:B=Bohrungen!B120)*('alle Dateien'!D:D="mdb"))&gt;0,1,0)</f>
        <v>0</v>
      </c>
      <c r="L120">
        <f>IF(SUMPRODUCT(('alle Dateien'!B:B=Bohrungen!B120)*('alle Dateien'!D:D="xml"))&gt;0,1,0)</f>
        <v>0</v>
      </c>
      <c r="M120">
        <f>IF(SUMPRODUCT(('alle Dateien'!B:B=Bohrungen!B120)*('alle Dateien'!D:D="jpg"))&gt;0,1,0)</f>
        <v>0</v>
      </c>
      <c r="N120">
        <f>IF(SUMPRODUCT(('alle Dateien'!B:B=Bohrungen!B120)*('alle Dateien'!D:D="png"))&gt;0,1,0)</f>
        <v>0</v>
      </c>
      <c r="O120">
        <f>IF(SUMPRODUCT(('alle Dateien'!B:B=Bohrungen!B120)*('alle Dateien'!D:D="xls"))&gt;0,1,0)</f>
        <v>0</v>
      </c>
      <c r="P120">
        <f>IF(SUMPRODUCT(('alle Dateien'!B:B=Bohrungen!B120)*('alle Dateien'!D:D="txt"))&gt;0,1,0)</f>
        <v>0</v>
      </c>
      <c r="Q120">
        <f>IF(SUMPRODUCT(('alle Dateien'!B:B=Bohrungen!B120)*('alle Dateien'!D:D="ZIP oder R"))&gt;0,1,0)</f>
        <v>0</v>
      </c>
      <c r="R120">
        <f>IF(SUMPRODUCT(('alle Dateien'!B:B=Bohrungen!B120)*('alle Dateien'!D:D="tsf"))&gt;0,1,0)</f>
        <v>0</v>
      </c>
      <c r="S120">
        <f>IF(SUMPRODUCT(('alle Dateien'!B:B=Bohrungen!B120)*('alle Dateien'!D:D="sch"))&gt;0,1,0)</f>
        <v>0</v>
      </c>
      <c r="U120" t="str">
        <f t="shared" si="3"/>
        <v>10000000000000000</v>
      </c>
      <c r="V120" t="str">
        <f>VLOOKUP(U120,Kategorie!B:C,2,FALSE)</f>
        <v>pdf</v>
      </c>
    </row>
    <row r="121" spans="1:22" x14ac:dyDescent="0.25">
      <c r="A121">
        <v>120</v>
      </c>
      <c r="B121" t="s">
        <v>2206</v>
      </c>
      <c r="C121" s="2">
        <f>IF(SUMPRODUCT(('alle Dateien'!B:B=Bohrungen!B121)*('alle Dateien'!D:D="pdf"))&gt;0,1,0)</f>
        <v>1</v>
      </c>
      <c r="D121">
        <f>IF(SUMPRODUCT(('alle Dateien'!B:B=Bohrungen!B121)*('alle Dateien'!D:D="tif"))&gt;0,1,0)</f>
        <v>0</v>
      </c>
      <c r="E121">
        <f>IF(SUMPRODUCT(('alle Dateien'!B:B=Bohrungen!B121)*('alle Dateien'!D:D="sdg"))&gt;0,1,0)</f>
        <v>0</v>
      </c>
      <c r="F121">
        <f>IF(SUMPRODUCT(('alle Dateien'!B:B=Bohrungen!B121)*('alle Dateien'!D:D="xlsx"))&gt;0,1,0)</f>
        <v>0</v>
      </c>
      <c r="G121">
        <f>IF(SUMPRODUCT(('alle Dateien'!B:B=Bohrungen!B121)*('alle Dateien'!D:D="docx"))&gt;0,1,0)</f>
        <v>0</v>
      </c>
      <c r="H121">
        <f>IF(SUMPRODUCT(('alle Dateien'!B:B=Bohrungen!B121)*('alle Dateien'!D:D="las"))&gt;0,1,0)</f>
        <v>0</v>
      </c>
      <c r="I121">
        <f>IF(SUMPRODUCT(('alle Dateien'!B:B=Bohrungen!B121)*('alle Dateien'!D:D="db"))&gt;0,1,0)</f>
        <v>0</v>
      </c>
      <c r="J121">
        <f>IF(SUMPRODUCT(('alle Dateien'!B:B=Bohrungen!B121)*('alle Dateien'!D:D="rhistory"))&gt;0,1,0)</f>
        <v>0</v>
      </c>
      <c r="K121">
        <f>IF(SUMPRODUCT(('alle Dateien'!B:B=Bohrungen!B121)*('alle Dateien'!D:D="mdb"))&gt;0,1,0)</f>
        <v>0</v>
      </c>
      <c r="L121">
        <f>IF(SUMPRODUCT(('alle Dateien'!B:B=Bohrungen!B121)*('alle Dateien'!D:D="xml"))&gt;0,1,0)</f>
        <v>0</v>
      </c>
      <c r="M121">
        <f>IF(SUMPRODUCT(('alle Dateien'!B:B=Bohrungen!B121)*('alle Dateien'!D:D="jpg"))&gt;0,1,0)</f>
        <v>0</v>
      </c>
      <c r="N121">
        <f>IF(SUMPRODUCT(('alle Dateien'!B:B=Bohrungen!B121)*('alle Dateien'!D:D="png"))&gt;0,1,0)</f>
        <v>0</v>
      </c>
      <c r="O121">
        <f>IF(SUMPRODUCT(('alle Dateien'!B:B=Bohrungen!B121)*('alle Dateien'!D:D="xls"))&gt;0,1,0)</f>
        <v>0</v>
      </c>
      <c r="P121">
        <f>IF(SUMPRODUCT(('alle Dateien'!B:B=Bohrungen!B121)*('alle Dateien'!D:D="txt"))&gt;0,1,0)</f>
        <v>0</v>
      </c>
      <c r="Q121">
        <f>IF(SUMPRODUCT(('alle Dateien'!B:B=Bohrungen!B121)*('alle Dateien'!D:D="ZIP oder R"))&gt;0,1,0)</f>
        <v>0</v>
      </c>
      <c r="R121">
        <f>IF(SUMPRODUCT(('alle Dateien'!B:B=Bohrungen!B121)*('alle Dateien'!D:D="tsf"))&gt;0,1,0)</f>
        <v>0</v>
      </c>
      <c r="S121">
        <f>IF(SUMPRODUCT(('alle Dateien'!B:B=Bohrungen!B121)*('alle Dateien'!D:D="sch"))&gt;0,1,0)</f>
        <v>0</v>
      </c>
      <c r="U121" t="str">
        <f t="shared" si="3"/>
        <v>10000000000000000</v>
      </c>
      <c r="V121" t="str">
        <f>VLOOKUP(U121,Kategorie!B:C,2,FALSE)</f>
        <v>pdf</v>
      </c>
    </row>
    <row r="122" spans="1:22" x14ac:dyDescent="0.25">
      <c r="A122">
        <v>121</v>
      </c>
      <c r="B122" t="s">
        <v>2207</v>
      </c>
      <c r="C122" s="2">
        <f>IF(SUMPRODUCT(('alle Dateien'!B:B=Bohrungen!B122)*('alle Dateien'!D:D="pdf"))&gt;0,1,0)</f>
        <v>1</v>
      </c>
      <c r="D122">
        <f>IF(SUMPRODUCT(('alle Dateien'!B:B=Bohrungen!B122)*('alle Dateien'!D:D="tif"))&gt;0,1,0)</f>
        <v>0</v>
      </c>
      <c r="E122">
        <f>IF(SUMPRODUCT(('alle Dateien'!B:B=Bohrungen!B122)*('alle Dateien'!D:D="sdg"))&gt;0,1,0)</f>
        <v>0</v>
      </c>
      <c r="F122">
        <f>IF(SUMPRODUCT(('alle Dateien'!B:B=Bohrungen!B122)*('alle Dateien'!D:D="xlsx"))&gt;0,1,0)</f>
        <v>0</v>
      </c>
      <c r="G122">
        <f>IF(SUMPRODUCT(('alle Dateien'!B:B=Bohrungen!B122)*('alle Dateien'!D:D="docx"))&gt;0,1,0)</f>
        <v>0</v>
      </c>
      <c r="H122">
        <f>IF(SUMPRODUCT(('alle Dateien'!B:B=Bohrungen!B122)*('alle Dateien'!D:D="las"))&gt;0,1,0)</f>
        <v>0</v>
      </c>
      <c r="I122">
        <f>IF(SUMPRODUCT(('alle Dateien'!B:B=Bohrungen!B122)*('alle Dateien'!D:D="db"))&gt;0,1,0)</f>
        <v>0</v>
      </c>
      <c r="J122">
        <f>IF(SUMPRODUCT(('alle Dateien'!B:B=Bohrungen!B122)*('alle Dateien'!D:D="rhistory"))&gt;0,1,0)</f>
        <v>0</v>
      </c>
      <c r="K122">
        <f>IF(SUMPRODUCT(('alle Dateien'!B:B=Bohrungen!B122)*('alle Dateien'!D:D="mdb"))&gt;0,1,0)</f>
        <v>0</v>
      </c>
      <c r="L122">
        <f>IF(SUMPRODUCT(('alle Dateien'!B:B=Bohrungen!B122)*('alle Dateien'!D:D="xml"))&gt;0,1,0)</f>
        <v>0</v>
      </c>
      <c r="M122">
        <f>IF(SUMPRODUCT(('alle Dateien'!B:B=Bohrungen!B122)*('alle Dateien'!D:D="jpg"))&gt;0,1,0)</f>
        <v>0</v>
      </c>
      <c r="N122">
        <f>IF(SUMPRODUCT(('alle Dateien'!B:B=Bohrungen!B122)*('alle Dateien'!D:D="png"))&gt;0,1,0)</f>
        <v>0</v>
      </c>
      <c r="O122">
        <f>IF(SUMPRODUCT(('alle Dateien'!B:B=Bohrungen!B122)*('alle Dateien'!D:D="xls"))&gt;0,1,0)</f>
        <v>0</v>
      </c>
      <c r="P122">
        <f>IF(SUMPRODUCT(('alle Dateien'!B:B=Bohrungen!B122)*('alle Dateien'!D:D="txt"))&gt;0,1,0)</f>
        <v>0</v>
      </c>
      <c r="Q122">
        <f>IF(SUMPRODUCT(('alle Dateien'!B:B=Bohrungen!B122)*('alle Dateien'!D:D="ZIP oder R"))&gt;0,1,0)</f>
        <v>0</v>
      </c>
      <c r="R122">
        <f>IF(SUMPRODUCT(('alle Dateien'!B:B=Bohrungen!B122)*('alle Dateien'!D:D="tsf"))&gt;0,1,0)</f>
        <v>0</v>
      </c>
      <c r="S122">
        <f>IF(SUMPRODUCT(('alle Dateien'!B:B=Bohrungen!B122)*('alle Dateien'!D:D="sch"))&gt;0,1,0)</f>
        <v>0</v>
      </c>
      <c r="U122" t="str">
        <f t="shared" si="3"/>
        <v>10000000000000000</v>
      </c>
      <c r="V122" t="str">
        <f>VLOOKUP(U122,Kategorie!B:C,2,FALSE)</f>
        <v>pdf</v>
      </c>
    </row>
    <row r="123" spans="1:22" x14ac:dyDescent="0.25">
      <c r="A123">
        <v>122</v>
      </c>
      <c r="B123" t="s">
        <v>2208</v>
      </c>
      <c r="C123" s="2">
        <f>IF(SUMPRODUCT(('alle Dateien'!B:B=Bohrungen!B123)*('alle Dateien'!D:D="pdf"))&gt;0,1,0)</f>
        <v>1</v>
      </c>
      <c r="D123">
        <f>IF(SUMPRODUCT(('alle Dateien'!B:B=Bohrungen!B123)*('alle Dateien'!D:D="tif"))&gt;0,1,0)</f>
        <v>0</v>
      </c>
      <c r="E123">
        <f>IF(SUMPRODUCT(('alle Dateien'!B:B=Bohrungen!B123)*('alle Dateien'!D:D="sdg"))&gt;0,1,0)</f>
        <v>0</v>
      </c>
      <c r="F123">
        <f>IF(SUMPRODUCT(('alle Dateien'!B:B=Bohrungen!B123)*('alle Dateien'!D:D="xlsx"))&gt;0,1,0)</f>
        <v>0</v>
      </c>
      <c r="G123">
        <f>IF(SUMPRODUCT(('alle Dateien'!B:B=Bohrungen!B123)*('alle Dateien'!D:D="docx"))&gt;0,1,0)</f>
        <v>0</v>
      </c>
      <c r="H123">
        <f>IF(SUMPRODUCT(('alle Dateien'!B:B=Bohrungen!B123)*('alle Dateien'!D:D="las"))&gt;0,1,0)</f>
        <v>0</v>
      </c>
      <c r="I123">
        <f>IF(SUMPRODUCT(('alle Dateien'!B:B=Bohrungen!B123)*('alle Dateien'!D:D="db"))&gt;0,1,0)</f>
        <v>0</v>
      </c>
      <c r="J123">
        <f>IF(SUMPRODUCT(('alle Dateien'!B:B=Bohrungen!B123)*('alle Dateien'!D:D="rhistory"))&gt;0,1,0)</f>
        <v>0</v>
      </c>
      <c r="K123">
        <f>IF(SUMPRODUCT(('alle Dateien'!B:B=Bohrungen!B123)*('alle Dateien'!D:D="mdb"))&gt;0,1,0)</f>
        <v>0</v>
      </c>
      <c r="L123">
        <f>IF(SUMPRODUCT(('alle Dateien'!B:B=Bohrungen!B123)*('alle Dateien'!D:D="xml"))&gt;0,1,0)</f>
        <v>0</v>
      </c>
      <c r="M123">
        <f>IF(SUMPRODUCT(('alle Dateien'!B:B=Bohrungen!B123)*('alle Dateien'!D:D="jpg"))&gt;0,1,0)</f>
        <v>0</v>
      </c>
      <c r="N123">
        <f>IF(SUMPRODUCT(('alle Dateien'!B:B=Bohrungen!B123)*('alle Dateien'!D:D="png"))&gt;0,1,0)</f>
        <v>0</v>
      </c>
      <c r="O123">
        <f>IF(SUMPRODUCT(('alle Dateien'!B:B=Bohrungen!B123)*('alle Dateien'!D:D="xls"))&gt;0,1,0)</f>
        <v>0</v>
      </c>
      <c r="P123">
        <f>IF(SUMPRODUCT(('alle Dateien'!B:B=Bohrungen!B123)*('alle Dateien'!D:D="txt"))&gt;0,1,0)</f>
        <v>0</v>
      </c>
      <c r="Q123">
        <f>IF(SUMPRODUCT(('alle Dateien'!B:B=Bohrungen!B123)*('alle Dateien'!D:D="ZIP oder R"))&gt;0,1,0)</f>
        <v>0</v>
      </c>
      <c r="R123">
        <f>IF(SUMPRODUCT(('alle Dateien'!B:B=Bohrungen!B123)*('alle Dateien'!D:D="tsf"))&gt;0,1,0)</f>
        <v>0</v>
      </c>
      <c r="S123">
        <f>IF(SUMPRODUCT(('alle Dateien'!B:B=Bohrungen!B123)*('alle Dateien'!D:D="sch"))&gt;0,1,0)</f>
        <v>0</v>
      </c>
      <c r="U123" t="str">
        <f t="shared" si="3"/>
        <v>10000000000000000</v>
      </c>
      <c r="V123" t="str">
        <f>VLOOKUP(U123,Kategorie!B:C,2,FALSE)</f>
        <v>pdf</v>
      </c>
    </row>
    <row r="124" spans="1:22" x14ac:dyDescent="0.25">
      <c r="A124">
        <v>123</v>
      </c>
      <c r="B124" t="s">
        <v>2209</v>
      </c>
      <c r="C124" s="2">
        <f>IF(SUMPRODUCT(('alle Dateien'!B:B=Bohrungen!B124)*('alle Dateien'!D:D="pdf"))&gt;0,1,0)</f>
        <v>1</v>
      </c>
      <c r="D124">
        <f>IF(SUMPRODUCT(('alle Dateien'!B:B=Bohrungen!B124)*('alle Dateien'!D:D="tif"))&gt;0,1,0)</f>
        <v>0</v>
      </c>
      <c r="E124">
        <f>IF(SUMPRODUCT(('alle Dateien'!B:B=Bohrungen!B124)*('alle Dateien'!D:D="sdg"))&gt;0,1,0)</f>
        <v>0</v>
      </c>
      <c r="F124">
        <f>IF(SUMPRODUCT(('alle Dateien'!B:B=Bohrungen!B124)*('alle Dateien'!D:D="xlsx"))&gt;0,1,0)</f>
        <v>0</v>
      </c>
      <c r="G124">
        <f>IF(SUMPRODUCT(('alle Dateien'!B:B=Bohrungen!B124)*('alle Dateien'!D:D="docx"))&gt;0,1,0)</f>
        <v>0</v>
      </c>
      <c r="H124">
        <f>IF(SUMPRODUCT(('alle Dateien'!B:B=Bohrungen!B124)*('alle Dateien'!D:D="las"))&gt;0,1,0)</f>
        <v>0</v>
      </c>
      <c r="I124">
        <f>IF(SUMPRODUCT(('alle Dateien'!B:B=Bohrungen!B124)*('alle Dateien'!D:D="db"))&gt;0,1,0)</f>
        <v>0</v>
      </c>
      <c r="J124">
        <f>IF(SUMPRODUCT(('alle Dateien'!B:B=Bohrungen!B124)*('alle Dateien'!D:D="rhistory"))&gt;0,1,0)</f>
        <v>0</v>
      </c>
      <c r="K124">
        <f>IF(SUMPRODUCT(('alle Dateien'!B:B=Bohrungen!B124)*('alle Dateien'!D:D="mdb"))&gt;0,1,0)</f>
        <v>0</v>
      </c>
      <c r="L124">
        <f>IF(SUMPRODUCT(('alle Dateien'!B:B=Bohrungen!B124)*('alle Dateien'!D:D="xml"))&gt;0,1,0)</f>
        <v>0</v>
      </c>
      <c r="M124">
        <f>IF(SUMPRODUCT(('alle Dateien'!B:B=Bohrungen!B124)*('alle Dateien'!D:D="jpg"))&gt;0,1,0)</f>
        <v>0</v>
      </c>
      <c r="N124">
        <f>IF(SUMPRODUCT(('alle Dateien'!B:B=Bohrungen!B124)*('alle Dateien'!D:D="png"))&gt;0,1,0)</f>
        <v>0</v>
      </c>
      <c r="O124">
        <f>IF(SUMPRODUCT(('alle Dateien'!B:B=Bohrungen!B124)*('alle Dateien'!D:D="xls"))&gt;0,1,0)</f>
        <v>0</v>
      </c>
      <c r="P124">
        <f>IF(SUMPRODUCT(('alle Dateien'!B:B=Bohrungen!B124)*('alle Dateien'!D:D="txt"))&gt;0,1,0)</f>
        <v>0</v>
      </c>
      <c r="Q124">
        <f>IF(SUMPRODUCT(('alle Dateien'!B:B=Bohrungen!B124)*('alle Dateien'!D:D="ZIP oder R"))&gt;0,1,0)</f>
        <v>0</v>
      </c>
      <c r="R124">
        <f>IF(SUMPRODUCT(('alle Dateien'!B:B=Bohrungen!B124)*('alle Dateien'!D:D="tsf"))&gt;0,1,0)</f>
        <v>0</v>
      </c>
      <c r="S124">
        <f>IF(SUMPRODUCT(('alle Dateien'!B:B=Bohrungen!B124)*('alle Dateien'!D:D="sch"))&gt;0,1,0)</f>
        <v>0</v>
      </c>
      <c r="U124" t="str">
        <f t="shared" si="3"/>
        <v>10000000000000000</v>
      </c>
      <c r="V124" t="str">
        <f>VLOOKUP(U124,Kategorie!B:C,2,FALSE)</f>
        <v>pdf</v>
      </c>
    </row>
    <row r="125" spans="1:22" x14ac:dyDescent="0.25">
      <c r="A125">
        <v>124</v>
      </c>
      <c r="B125" t="s">
        <v>2210</v>
      </c>
      <c r="C125" s="2">
        <f>IF(SUMPRODUCT(('alle Dateien'!B:B=Bohrungen!B125)*('alle Dateien'!D:D="pdf"))&gt;0,1,0)</f>
        <v>1</v>
      </c>
      <c r="D125">
        <f>IF(SUMPRODUCT(('alle Dateien'!B:B=Bohrungen!B125)*('alle Dateien'!D:D="tif"))&gt;0,1,0)</f>
        <v>0</v>
      </c>
      <c r="E125">
        <f>IF(SUMPRODUCT(('alle Dateien'!B:B=Bohrungen!B125)*('alle Dateien'!D:D="sdg"))&gt;0,1,0)</f>
        <v>0</v>
      </c>
      <c r="F125">
        <f>IF(SUMPRODUCT(('alle Dateien'!B:B=Bohrungen!B125)*('alle Dateien'!D:D="xlsx"))&gt;0,1,0)</f>
        <v>1</v>
      </c>
      <c r="G125">
        <f>IF(SUMPRODUCT(('alle Dateien'!B:B=Bohrungen!B125)*('alle Dateien'!D:D="docx"))&gt;0,1,0)</f>
        <v>0</v>
      </c>
      <c r="H125">
        <f>IF(SUMPRODUCT(('alle Dateien'!B:B=Bohrungen!B125)*('alle Dateien'!D:D="las"))&gt;0,1,0)</f>
        <v>0</v>
      </c>
      <c r="I125">
        <f>IF(SUMPRODUCT(('alle Dateien'!B:B=Bohrungen!B125)*('alle Dateien'!D:D="db"))&gt;0,1,0)</f>
        <v>0</v>
      </c>
      <c r="J125">
        <f>IF(SUMPRODUCT(('alle Dateien'!B:B=Bohrungen!B125)*('alle Dateien'!D:D="rhistory"))&gt;0,1,0)</f>
        <v>0</v>
      </c>
      <c r="K125">
        <f>IF(SUMPRODUCT(('alle Dateien'!B:B=Bohrungen!B125)*('alle Dateien'!D:D="mdb"))&gt;0,1,0)</f>
        <v>0</v>
      </c>
      <c r="L125">
        <f>IF(SUMPRODUCT(('alle Dateien'!B:B=Bohrungen!B125)*('alle Dateien'!D:D="xml"))&gt;0,1,0)</f>
        <v>0</v>
      </c>
      <c r="M125">
        <f>IF(SUMPRODUCT(('alle Dateien'!B:B=Bohrungen!B125)*('alle Dateien'!D:D="jpg"))&gt;0,1,0)</f>
        <v>0</v>
      </c>
      <c r="N125">
        <f>IF(SUMPRODUCT(('alle Dateien'!B:B=Bohrungen!B125)*('alle Dateien'!D:D="png"))&gt;0,1,0)</f>
        <v>0</v>
      </c>
      <c r="O125">
        <f>IF(SUMPRODUCT(('alle Dateien'!B:B=Bohrungen!B125)*('alle Dateien'!D:D="xls"))&gt;0,1,0)</f>
        <v>0</v>
      </c>
      <c r="P125">
        <f>IF(SUMPRODUCT(('alle Dateien'!B:B=Bohrungen!B125)*('alle Dateien'!D:D="txt"))&gt;0,1,0)</f>
        <v>0</v>
      </c>
      <c r="Q125">
        <f>IF(SUMPRODUCT(('alle Dateien'!B:B=Bohrungen!B125)*('alle Dateien'!D:D="ZIP oder R"))&gt;0,1,0)</f>
        <v>0</v>
      </c>
      <c r="R125">
        <f>IF(SUMPRODUCT(('alle Dateien'!B:B=Bohrungen!B125)*('alle Dateien'!D:D="tsf"))&gt;0,1,0)</f>
        <v>0</v>
      </c>
      <c r="S125">
        <f>IF(SUMPRODUCT(('alle Dateien'!B:B=Bohrungen!B125)*('alle Dateien'!D:D="sch"))&gt;0,1,0)</f>
        <v>0</v>
      </c>
      <c r="U125" t="str">
        <f t="shared" si="3"/>
        <v>10010000000000000</v>
      </c>
      <c r="V125" t="str">
        <f>VLOOKUP(U125,Kategorie!B:C,2,FALSE)</f>
        <v>pdf/ xlsx</v>
      </c>
    </row>
    <row r="126" spans="1:22" x14ac:dyDescent="0.25">
      <c r="A126">
        <v>125</v>
      </c>
      <c r="B126" t="s">
        <v>2211</v>
      </c>
      <c r="C126" s="2">
        <f>IF(SUMPRODUCT(('alle Dateien'!B:B=Bohrungen!B126)*('alle Dateien'!D:D="pdf"))&gt;0,1,0)</f>
        <v>1</v>
      </c>
      <c r="D126">
        <f>IF(SUMPRODUCT(('alle Dateien'!B:B=Bohrungen!B126)*('alle Dateien'!D:D="tif"))&gt;0,1,0)</f>
        <v>0</v>
      </c>
      <c r="E126">
        <f>IF(SUMPRODUCT(('alle Dateien'!B:B=Bohrungen!B126)*('alle Dateien'!D:D="sdg"))&gt;0,1,0)</f>
        <v>0</v>
      </c>
      <c r="F126">
        <f>IF(SUMPRODUCT(('alle Dateien'!B:B=Bohrungen!B126)*('alle Dateien'!D:D="xlsx"))&gt;0,1,0)</f>
        <v>0</v>
      </c>
      <c r="G126">
        <f>IF(SUMPRODUCT(('alle Dateien'!B:B=Bohrungen!B126)*('alle Dateien'!D:D="docx"))&gt;0,1,0)</f>
        <v>0</v>
      </c>
      <c r="H126">
        <f>IF(SUMPRODUCT(('alle Dateien'!B:B=Bohrungen!B126)*('alle Dateien'!D:D="las"))&gt;0,1,0)</f>
        <v>0</v>
      </c>
      <c r="I126">
        <f>IF(SUMPRODUCT(('alle Dateien'!B:B=Bohrungen!B126)*('alle Dateien'!D:D="db"))&gt;0,1,0)</f>
        <v>0</v>
      </c>
      <c r="J126">
        <f>IF(SUMPRODUCT(('alle Dateien'!B:B=Bohrungen!B126)*('alle Dateien'!D:D="rhistory"))&gt;0,1,0)</f>
        <v>0</v>
      </c>
      <c r="K126">
        <f>IF(SUMPRODUCT(('alle Dateien'!B:B=Bohrungen!B126)*('alle Dateien'!D:D="mdb"))&gt;0,1,0)</f>
        <v>0</v>
      </c>
      <c r="L126">
        <f>IF(SUMPRODUCT(('alle Dateien'!B:B=Bohrungen!B126)*('alle Dateien'!D:D="xml"))&gt;0,1,0)</f>
        <v>0</v>
      </c>
      <c r="M126">
        <f>IF(SUMPRODUCT(('alle Dateien'!B:B=Bohrungen!B126)*('alle Dateien'!D:D="jpg"))&gt;0,1,0)</f>
        <v>0</v>
      </c>
      <c r="N126">
        <f>IF(SUMPRODUCT(('alle Dateien'!B:B=Bohrungen!B126)*('alle Dateien'!D:D="png"))&gt;0,1,0)</f>
        <v>0</v>
      </c>
      <c r="O126">
        <f>IF(SUMPRODUCT(('alle Dateien'!B:B=Bohrungen!B126)*('alle Dateien'!D:D="xls"))&gt;0,1,0)</f>
        <v>0</v>
      </c>
      <c r="P126">
        <f>IF(SUMPRODUCT(('alle Dateien'!B:B=Bohrungen!B126)*('alle Dateien'!D:D="txt"))&gt;0,1,0)</f>
        <v>0</v>
      </c>
      <c r="Q126">
        <f>IF(SUMPRODUCT(('alle Dateien'!B:B=Bohrungen!B126)*('alle Dateien'!D:D="ZIP oder R"))&gt;0,1,0)</f>
        <v>0</v>
      </c>
      <c r="R126">
        <f>IF(SUMPRODUCT(('alle Dateien'!B:B=Bohrungen!B126)*('alle Dateien'!D:D="tsf"))&gt;0,1,0)</f>
        <v>0</v>
      </c>
      <c r="S126">
        <f>IF(SUMPRODUCT(('alle Dateien'!B:B=Bohrungen!B126)*('alle Dateien'!D:D="sch"))&gt;0,1,0)</f>
        <v>0</v>
      </c>
      <c r="U126" t="str">
        <f t="shared" si="3"/>
        <v>10000000000000000</v>
      </c>
      <c r="V126" t="str">
        <f>VLOOKUP(U126,Kategorie!B:C,2,FALSE)</f>
        <v>pdf</v>
      </c>
    </row>
    <row r="127" spans="1:22" x14ac:dyDescent="0.25">
      <c r="A127">
        <v>126</v>
      </c>
      <c r="B127" t="s">
        <v>2212</v>
      </c>
      <c r="C127" s="2">
        <f>IF(SUMPRODUCT(('alle Dateien'!B:B=Bohrungen!B127)*('alle Dateien'!D:D="pdf"))&gt;0,1,0)</f>
        <v>1</v>
      </c>
      <c r="D127">
        <f>IF(SUMPRODUCT(('alle Dateien'!B:B=Bohrungen!B127)*('alle Dateien'!D:D="tif"))&gt;0,1,0)</f>
        <v>0</v>
      </c>
      <c r="E127">
        <f>IF(SUMPRODUCT(('alle Dateien'!B:B=Bohrungen!B127)*('alle Dateien'!D:D="sdg"))&gt;0,1,0)</f>
        <v>1</v>
      </c>
      <c r="F127">
        <f>IF(SUMPRODUCT(('alle Dateien'!B:B=Bohrungen!B127)*('alle Dateien'!D:D="xlsx"))&gt;0,1,0)</f>
        <v>1</v>
      </c>
      <c r="G127">
        <f>IF(SUMPRODUCT(('alle Dateien'!B:B=Bohrungen!B127)*('alle Dateien'!D:D="docx"))&gt;0,1,0)</f>
        <v>0</v>
      </c>
      <c r="H127">
        <f>IF(SUMPRODUCT(('alle Dateien'!B:B=Bohrungen!B127)*('alle Dateien'!D:D="las"))&gt;0,1,0)</f>
        <v>1</v>
      </c>
      <c r="I127">
        <f>IF(SUMPRODUCT(('alle Dateien'!B:B=Bohrungen!B127)*('alle Dateien'!D:D="db"))&gt;0,1,0)</f>
        <v>0</v>
      </c>
      <c r="J127">
        <f>IF(SUMPRODUCT(('alle Dateien'!B:B=Bohrungen!B127)*('alle Dateien'!D:D="rhistory"))&gt;0,1,0)</f>
        <v>0</v>
      </c>
      <c r="K127">
        <f>IF(SUMPRODUCT(('alle Dateien'!B:B=Bohrungen!B127)*('alle Dateien'!D:D="mdb"))&gt;0,1,0)</f>
        <v>0</v>
      </c>
      <c r="L127">
        <f>IF(SUMPRODUCT(('alle Dateien'!B:B=Bohrungen!B127)*('alle Dateien'!D:D="xml"))&gt;0,1,0)</f>
        <v>0</v>
      </c>
      <c r="M127">
        <f>IF(SUMPRODUCT(('alle Dateien'!B:B=Bohrungen!B127)*('alle Dateien'!D:D="jpg"))&gt;0,1,0)</f>
        <v>0</v>
      </c>
      <c r="N127">
        <f>IF(SUMPRODUCT(('alle Dateien'!B:B=Bohrungen!B127)*('alle Dateien'!D:D="png"))&gt;0,1,0)</f>
        <v>0</v>
      </c>
      <c r="O127">
        <f>IF(SUMPRODUCT(('alle Dateien'!B:B=Bohrungen!B127)*('alle Dateien'!D:D="xls"))&gt;0,1,0)</f>
        <v>0</v>
      </c>
      <c r="P127">
        <f>IF(SUMPRODUCT(('alle Dateien'!B:B=Bohrungen!B127)*('alle Dateien'!D:D="txt"))&gt;0,1,0)</f>
        <v>0</v>
      </c>
      <c r="Q127">
        <f>IF(SUMPRODUCT(('alle Dateien'!B:B=Bohrungen!B127)*('alle Dateien'!D:D="ZIP oder R"))&gt;0,1,0)</f>
        <v>0</v>
      </c>
      <c r="R127">
        <f>IF(SUMPRODUCT(('alle Dateien'!B:B=Bohrungen!B127)*('alle Dateien'!D:D="tsf"))&gt;0,1,0)</f>
        <v>0</v>
      </c>
      <c r="S127">
        <f>IF(SUMPRODUCT(('alle Dateien'!B:B=Bohrungen!B127)*('alle Dateien'!D:D="sch"))&gt;0,1,0)</f>
        <v>0</v>
      </c>
      <c r="U127" t="str">
        <f t="shared" si="3"/>
        <v>10110100000000000</v>
      </c>
      <c r="V127" t="str">
        <f>VLOOKUP(U127,Kategorie!B:C,2,FALSE)</f>
        <v>pdf/ sdg/ xlsx/ las</v>
      </c>
    </row>
    <row r="128" spans="1:22" x14ac:dyDescent="0.25">
      <c r="A128">
        <v>127</v>
      </c>
      <c r="B128" t="s">
        <v>2213</v>
      </c>
      <c r="C128" s="2">
        <f>IF(SUMPRODUCT(('alle Dateien'!B:B=Bohrungen!B128)*('alle Dateien'!D:D="pdf"))&gt;0,1,0)</f>
        <v>0</v>
      </c>
      <c r="D128">
        <f>IF(SUMPRODUCT(('alle Dateien'!B:B=Bohrungen!B128)*('alle Dateien'!D:D="tif"))&gt;0,1,0)</f>
        <v>0</v>
      </c>
      <c r="E128">
        <f>IF(SUMPRODUCT(('alle Dateien'!B:B=Bohrungen!B128)*('alle Dateien'!D:D="sdg"))&gt;0,1,0)</f>
        <v>1</v>
      </c>
      <c r="F128">
        <f>IF(SUMPRODUCT(('alle Dateien'!B:B=Bohrungen!B128)*('alle Dateien'!D:D="xlsx"))&gt;0,1,0)</f>
        <v>1</v>
      </c>
      <c r="G128">
        <f>IF(SUMPRODUCT(('alle Dateien'!B:B=Bohrungen!B128)*('alle Dateien'!D:D="docx"))&gt;0,1,0)</f>
        <v>0</v>
      </c>
      <c r="H128">
        <f>IF(SUMPRODUCT(('alle Dateien'!B:B=Bohrungen!B128)*('alle Dateien'!D:D="las"))&gt;0,1,0)</f>
        <v>1</v>
      </c>
      <c r="I128">
        <f>IF(SUMPRODUCT(('alle Dateien'!B:B=Bohrungen!B128)*('alle Dateien'!D:D="db"))&gt;0,1,0)</f>
        <v>0</v>
      </c>
      <c r="J128">
        <f>IF(SUMPRODUCT(('alle Dateien'!B:B=Bohrungen!B128)*('alle Dateien'!D:D="rhistory"))&gt;0,1,0)</f>
        <v>0</v>
      </c>
      <c r="K128">
        <f>IF(SUMPRODUCT(('alle Dateien'!B:B=Bohrungen!B128)*('alle Dateien'!D:D="mdb"))&gt;0,1,0)</f>
        <v>0</v>
      </c>
      <c r="L128">
        <f>IF(SUMPRODUCT(('alle Dateien'!B:B=Bohrungen!B128)*('alle Dateien'!D:D="xml"))&gt;0,1,0)</f>
        <v>0</v>
      </c>
      <c r="M128">
        <f>IF(SUMPRODUCT(('alle Dateien'!B:B=Bohrungen!B128)*('alle Dateien'!D:D="jpg"))&gt;0,1,0)</f>
        <v>0</v>
      </c>
      <c r="N128">
        <f>IF(SUMPRODUCT(('alle Dateien'!B:B=Bohrungen!B128)*('alle Dateien'!D:D="png"))&gt;0,1,0)</f>
        <v>0</v>
      </c>
      <c r="O128">
        <f>IF(SUMPRODUCT(('alle Dateien'!B:B=Bohrungen!B128)*('alle Dateien'!D:D="xls"))&gt;0,1,0)</f>
        <v>0</v>
      </c>
      <c r="P128">
        <f>IF(SUMPRODUCT(('alle Dateien'!B:B=Bohrungen!B128)*('alle Dateien'!D:D="txt"))&gt;0,1,0)</f>
        <v>0</v>
      </c>
      <c r="Q128">
        <f>IF(SUMPRODUCT(('alle Dateien'!B:B=Bohrungen!B128)*('alle Dateien'!D:D="ZIP oder R"))&gt;0,1,0)</f>
        <v>0</v>
      </c>
      <c r="R128">
        <f>IF(SUMPRODUCT(('alle Dateien'!B:B=Bohrungen!B128)*('alle Dateien'!D:D="tsf"))&gt;0,1,0)</f>
        <v>0</v>
      </c>
      <c r="S128">
        <f>IF(SUMPRODUCT(('alle Dateien'!B:B=Bohrungen!B128)*('alle Dateien'!D:D="sch"))&gt;0,1,0)</f>
        <v>0</v>
      </c>
      <c r="U128" t="str">
        <f t="shared" si="3"/>
        <v>00110100000000000</v>
      </c>
      <c r="V128" t="str">
        <f>VLOOKUP(U128,Kategorie!B:C,2,FALSE)</f>
        <v>sdg/ xlsx/ las</v>
      </c>
    </row>
    <row r="129" spans="1:22" x14ac:dyDescent="0.25">
      <c r="A129">
        <v>128</v>
      </c>
      <c r="B129" t="s">
        <v>2214</v>
      </c>
      <c r="C129" s="2">
        <f>IF(SUMPRODUCT(('alle Dateien'!B:B=Bohrungen!B129)*('alle Dateien'!D:D="pdf"))&gt;0,1,0)</f>
        <v>1</v>
      </c>
      <c r="D129">
        <f>IF(SUMPRODUCT(('alle Dateien'!B:B=Bohrungen!B129)*('alle Dateien'!D:D="tif"))&gt;0,1,0)</f>
        <v>1</v>
      </c>
      <c r="E129">
        <f>IF(SUMPRODUCT(('alle Dateien'!B:B=Bohrungen!B129)*('alle Dateien'!D:D="sdg"))&gt;0,1,0)</f>
        <v>0</v>
      </c>
      <c r="F129">
        <f>IF(SUMPRODUCT(('alle Dateien'!B:B=Bohrungen!B129)*('alle Dateien'!D:D="xlsx"))&gt;0,1,0)</f>
        <v>0</v>
      </c>
      <c r="G129">
        <f>IF(SUMPRODUCT(('alle Dateien'!B:B=Bohrungen!B129)*('alle Dateien'!D:D="docx"))&gt;0,1,0)</f>
        <v>0</v>
      </c>
      <c r="H129">
        <f>IF(SUMPRODUCT(('alle Dateien'!B:B=Bohrungen!B129)*('alle Dateien'!D:D="las"))&gt;0,1,0)</f>
        <v>0</v>
      </c>
      <c r="I129">
        <f>IF(SUMPRODUCT(('alle Dateien'!B:B=Bohrungen!B129)*('alle Dateien'!D:D="db"))&gt;0,1,0)</f>
        <v>0</v>
      </c>
      <c r="J129">
        <f>IF(SUMPRODUCT(('alle Dateien'!B:B=Bohrungen!B129)*('alle Dateien'!D:D="rhistory"))&gt;0,1,0)</f>
        <v>0</v>
      </c>
      <c r="K129">
        <f>IF(SUMPRODUCT(('alle Dateien'!B:B=Bohrungen!B129)*('alle Dateien'!D:D="mdb"))&gt;0,1,0)</f>
        <v>0</v>
      </c>
      <c r="L129">
        <f>IF(SUMPRODUCT(('alle Dateien'!B:B=Bohrungen!B129)*('alle Dateien'!D:D="xml"))&gt;0,1,0)</f>
        <v>0</v>
      </c>
      <c r="M129">
        <f>IF(SUMPRODUCT(('alle Dateien'!B:B=Bohrungen!B129)*('alle Dateien'!D:D="jpg"))&gt;0,1,0)</f>
        <v>0</v>
      </c>
      <c r="N129">
        <f>IF(SUMPRODUCT(('alle Dateien'!B:B=Bohrungen!B129)*('alle Dateien'!D:D="png"))&gt;0,1,0)</f>
        <v>0</v>
      </c>
      <c r="O129">
        <f>IF(SUMPRODUCT(('alle Dateien'!B:B=Bohrungen!B129)*('alle Dateien'!D:D="xls"))&gt;0,1,0)</f>
        <v>0</v>
      </c>
      <c r="P129">
        <f>IF(SUMPRODUCT(('alle Dateien'!B:B=Bohrungen!B129)*('alle Dateien'!D:D="txt"))&gt;0,1,0)</f>
        <v>0</v>
      </c>
      <c r="Q129">
        <f>IF(SUMPRODUCT(('alle Dateien'!B:B=Bohrungen!B129)*('alle Dateien'!D:D="ZIP oder R"))&gt;0,1,0)</f>
        <v>0</v>
      </c>
      <c r="R129">
        <f>IF(SUMPRODUCT(('alle Dateien'!B:B=Bohrungen!B129)*('alle Dateien'!D:D="tsf"))&gt;0,1,0)</f>
        <v>0</v>
      </c>
      <c r="S129">
        <f>IF(SUMPRODUCT(('alle Dateien'!B:B=Bohrungen!B129)*('alle Dateien'!D:D="sch"))&gt;0,1,0)</f>
        <v>0</v>
      </c>
      <c r="U129" t="str">
        <f t="shared" si="3"/>
        <v>11000000000000000</v>
      </c>
      <c r="V129" t="str">
        <f>VLOOKUP(U129,Kategorie!B:C,2,FALSE)</f>
        <v>pdf/ tif</v>
      </c>
    </row>
    <row r="130" spans="1:22" x14ac:dyDescent="0.25">
      <c r="A130">
        <v>129</v>
      </c>
      <c r="B130" t="s">
        <v>2215</v>
      </c>
      <c r="C130" s="2">
        <f>IF(SUMPRODUCT(('alle Dateien'!B:B=Bohrungen!B130)*('alle Dateien'!D:D="pdf"))&gt;0,1,0)</f>
        <v>0</v>
      </c>
      <c r="D130">
        <f>IF(SUMPRODUCT(('alle Dateien'!B:B=Bohrungen!B130)*('alle Dateien'!D:D="tif"))&gt;0,1,0)</f>
        <v>0</v>
      </c>
      <c r="E130">
        <f>IF(SUMPRODUCT(('alle Dateien'!B:B=Bohrungen!B130)*('alle Dateien'!D:D="sdg"))&gt;0,1,0)</f>
        <v>1</v>
      </c>
      <c r="F130">
        <f>IF(SUMPRODUCT(('alle Dateien'!B:B=Bohrungen!B130)*('alle Dateien'!D:D="xlsx"))&gt;0,1,0)</f>
        <v>1</v>
      </c>
      <c r="G130">
        <f>IF(SUMPRODUCT(('alle Dateien'!B:B=Bohrungen!B130)*('alle Dateien'!D:D="docx"))&gt;0,1,0)</f>
        <v>0</v>
      </c>
      <c r="H130">
        <f>IF(SUMPRODUCT(('alle Dateien'!B:B=Bohrungen!B130)*('alle Dateien'!D:D="las"))&gt;0,1,0)</f>
        <v>1</v>
      </c>
      <c r="I130">
        <f>IF(SUMPRODUCT(('alle Dateien'!B:B=Bohrungen!B130)*('alle Dateien'!D:D="db"))&gt;0,1,0)</f>
        <v>0</v>
      </c>
      <c r="J130">
        <f>IF(SUMPRODUCT(('alle Dateien'!B:B=Bohrungen!B130)*('alle Dateien'!D:D="rhistory"))&gt;0,1,0)</f>
        <v>0</v>
      </c>
      <c r="K130">
        <f>IF(SUMPRODUCT(('alle Dateien'!B:B=Bohrungen!B130)*('alle Dateien'!D:D="mdb"))&gt;0,1,0)</f>
        <v>0</v>
      </c>
      <c r="L130">
        <f>IF(SUMPRODUCT(('alle Dateien'!B:B=Bohrungen!B130)*('alle Dateien'!D:D="xml"))&gt;0,1,0)</f>
        <v>0</v>
      </c>
      <c r="M130">
        <f>IF(SUMPRODUCT(('alle Dateien'!B:B=Bohrungen!B130)*('alle Dateien'!D:D="jpg"))&gt;0,1,0)</f>
        <v>0</v>
      </c>
      <c r="N130">
        <f>IF(SUMPRODUCT(('alle Dateien'!B:B=Bohrungen!B130)*('alle Dateien'!D:D="png"))&gt;0,1,0)</f>
        <v>0</v>
      </c>
      <c r="O130">
        <f>IF(SUMPRODUCT(('alle Dateien'!B:B=Bohrungen!B130)*('alle Dateien'!D:D="xls"))&gt;0,1,0)</f>
        <v>0</v>
      </c>
      <c r="P130">
        <f>IF(SUMPRODUCT(('alle Dateien'!B:B=Bohrungen!B130)*('alle Dateien'!D:D="txt"))&gt;0,1,0)</f>
        <v>0</v>
      </c>
      <c r="Q130">
        <f>IF(SUMPRODUCT(('alle Dateien'!B:B=Bohrungen!B130)*('alle Dateien'!D:D="ZIP oder R"))&gt;0,1,0)</f>
        <v>0</v>
      </c>
      <c r="R130">
        <f>IF(SUMPRODUCT(('alle Dateien'!B:B=Bohrungen!B130)*('alle Dateien'!D:D="tsf"))&gt;0,1,0)</f>
        <v>0</v>
      </c>
      <c r="S130">
        <f>IF(SUMPRODUCT(('alle Dateien'!B:B=Bohrungen!B130)*('alle Dateien'!D:D="sch"))&gt;0,1,0)</f>
        <v>0</v>
      </c>
      <c r="U130" t="str">
        <f t="shared" ref="U130:U161" si="4">CONCATENATE(C130,D130,E130,F130,G130,H130,I130,J130,K130,L130,M130,N130,O130,P130,Q130,R130,S130,)</f>
        <v>00110100000000000</v>
      </c>
      <c r="V130" t="str">
        <f>VLOOKUP(U130,Kategorie!B:C,2,FALSE)</f>
        <v>sdg/ xlsx/ las</v>
      </c>
    </row>
    <row r="131" spans="1:22" x14ac:dyDescent="0.25">
      <c r="A131">
        <v>130</v>
      </c>
      <c r="B131" t="s">
        <v>2216</v>
      </c>
      <c r="C131" s="2">
        <f>IF(SUMPRODUCT(('alle Dateien'!B:B=Bohrungen!B131)*('alle Dateien'!D:D="pdf"))&gt;0,1,0)</f>
        <v>1</v>
      </c>
      <c r="D131">
        <f>IF(SUMPRODUCT(('alle Dateien'!B:B=Bohrungen!B131)*('alle Dateien'!D:D="tif"))&gt;0,1,0)</f>
        <v>0</v>
      </c>
      <c r="E131">
        <f>IF(SUMPRODUCT(('alle Dateien'!B:B=Bohrungen!B131)*('alle Dateien'!D:D="sdg"))&gt;0,1,0)</f>
        <v>1</v>
      </c>
      <c r="F131">
        <f>IF(SUMPRODUCT(('alle Dateien'!B:B=Bohrungen!B131)*('alle Dateien'!D:D="xlsx"))&gt;0,1,0)</f>
        <v>1</v>
      </c>
      <c r="G131">
        <f>IF(SUMPRODUCT(('alle Dateien'!B:B=Bohrungen!B131)*('alle Dateien'!D:D="docx"))&gt;0,1,0)</f>
        <v>0</v>
      </c>
      <c r="H131">
        <f>IF(SUMPRODUCT(('alle Dateien'!B:B=Bohrungen!B131)*('alle Dateien'!D:D="las"))&gt;0,1,0)</f>
        <v>1</v>
      </c>
      <c r="I131">
        <f>IF(SUMPRODUCT(('alle Dateien'!B:B=Bohrungen!B131)*('alle Dateien'!D:D="db"))&gt;0,1,0)</f>
        <v>0</v>
      </c>
      <c r="J131">
        <f>IF(SUMPRODUCT(('alle Dateien'!B:B=Bohrungen!B131)*('alle Dateien'!D:D="rhistory"))&gt;0,1,0)</f>
        <v>0</v>
      </c>
      <c r="K131">
        <f>IF(SUMPRODUCT(('alle Dateien'!B:B=Bohrungen!B131)*('alle Dateien'!D:D="mdb"))&gt;0,1,0)</f>
        <v>0</v>
      </c>
      <c r="L131">
        <f>IF(SUMPRODUCT(('alle Dateien'!B:B=Bohrungen!B131)*('alle Dateien'!D:D="xml"))&gt;0,1,0)</f>
        <v>0</v>
      </c>
      <c r="M131">
        <f>IF(SUMPRODUCT(('alle Dateien'!B:B=Bohrungen!B131)*('alle Dateien'!D:D="jpg"))&gt;0,1,0)</f>
        <v>0</v>
      </c>
      <c r="N131">
        <f>IF(SUMPRODUCT(('alle Dateien'!B:B=Bohrungen!B131)*('alle Dateien'!D:D="png"))&gt;0,1,0)</f>
        <v>0</v>
      </c>
      <c r="O131">
        <f>IF(SUMPRODUCT(('alle Dateien'!B:B=Bohrungen!B131)*('alle Dateien'!D:D="xls"))&gt;0,1,0)</f>
        <v>0</v>
      </c>
      <c r="P131">
        <f>IF(SUMPRODUCT(('alle Dateien'!B:B=Bohrungen!B131)*('alle Dateien'!D:D="txt"))&gt;0,1,0)</f>
        <v>0</v>
      </c>
      <c r="Q131">
        <f>IF(SUMPRODUCT(('alle Dateien'!B:B=Bohrungen!B131)*('alle Dateien'!D:D="ZIP oder R"))&gt;0,1,0)</f>
        <v>0</v>
      </c>
      <c r="R131">
        <f>IF(SUMPRODUCT(('alle Dateien'!B:B=Bohrungen!B131)*('alle Dateien'!D:D="tsf"))&gt;0,1,0)</f>
        <v>0</v>
      </c>
      <c r="S131">
        <f>IF(SUMPRODUCT(('alle Dateien'!B:B=Bohrungen!B131)*('alle Dateien'!D:D="sch"))&gt;0,1,0)</f>
        <v>0</v>
      </c>
      <c r="U131" t="str">
        <f t="shared" si="4"/>
        <v>10110100000000000</v>
      </c>
      <c r="V131" t="str">
        <f>VLOOKUP(U131,Kategorie!B:C,2,FALSE)</f>
        <v>pdf/ sdg/ xlsx/ las</v>
      </c>
    </row>
    <row r="132" spans="1:22" x14ac:dyDescent="0.25">
      <c r="A132">
        <v>131</v>
      </c>
      <c r="B132" t="s">
        <v>2217</v>
      </c>
      <c r="C132" s="2">
        <f>IF(SUMPRODUCT(('alle Dateien'!B:B=Bohrungen!B132)*('alle Dateien'!D:D="pdf"))&gt;0,1,0)</f>
        <v>1</v>
      </c>
      <c r="D132">
        <f>IF(SUMPRODUCT(('alle Dateien'!B:B=Bohrungen!B132)*('alle Dateien'!D:D="tif"))&gt;0,1,0)</f>
        <v>0</v>
      </c>
      <c r="E132">
        <f>IF(SUMPRODUCT(('alle Dateien'!B:B=Bohrungen!B132)*('alle Dateien'!D:D="sdg"))&gt;0,1,0)</f>
        <v>0</v>
      </c>
      <c r="F132">
        <f>IF(SUMPRODUCT(('alle Dateien'!B:B=Bohrungen!B132)*('alle Dateien'!D:D="xlsx"))&gt;0,1,0)</f>
        <v>0</v>
      </c>
      <c r="G132">
        <f>IF(SUMPRODUCT(('alle Dateien'!B:B=Bohrungen!B132)*('alle Dateien'!D:D="docx"))&gt;0,1,0)</f>
        <v>0</v>
      </c>
      <c r="H132">
        <f>IF(SUMPRODUCT(('alle Dateien'!B:B=Bohrungen!B132)*('alle Dateien'!D:D="las"))&gt;0,1,0)</f>
        <v>0</v>
      </c>
      <c r="I132">
        <f>IF(SUMPRODUCT(('alle Dateien'!B:B=Bohrungen!B132)*('alle Dateien'!D:D="db"))&gt;0,1,0)</f>
        <v>0</v>
      </c>
      <c r="J132">
        <f>IF(SUMPRODUCT(('alle Dateien'!B:B=Bohrungen!B132)*('alle Dateien'!D:D="rhistory"))&gt;0,1,0)</f>
        <v>0</v>
      </c>
      <c r="K132">
        <f>IF(SUMPRODUCT(('alle Dateien'!B:B=Bohrungen!B132)*('alle Dateien'!D:D="mdb"))&gt;0,1,0)</f>
        <v>0</v>
      </c>
      <c r="L132">
        <f>IF(SUMPRODUCT(('alle Dateien'!B:B=Bohrungen!B132)*('alle Dateien'!D:D="xml"))&gt;0,1,0)</f>
        <v>0</v>
      </c>
      <c r="M132">
        <f>IF(SUMPRODUCT(('alle Dateien'!B:B=Bohrungen!B132)*('alle Dateien'!D:D="jpg"))&gt;0,1,0)</f>
        <v>0</v>
      </c>
      <c r="N132">
        <f>IF(SUMPRODUCT(('alle Dateien'!B:B=Bohrungen!B132)*('alle Dateien'!D:D="png"))&gt;0,1,0)</f>
        <v>0</v>
      </c>
      <c r="O132">
        <f>IF(SUMPRODUCT(('alle Dateien'!B:B=Bohrungen!B132)*('alle Dateien'!D:D="xls"))&gt;0,1,0)</f>
        <v>0</v>
      </c>
      <c r="P132">
        <f>IF(SUMPRODUCT(('alle Dateien'!B:B=Bohrungen!B132)*('alle Dateien'!D:D="txt"))&gt;0,1,0)</f>
        <v>0</v>
      </c>
      <c r="Q132">
        <f>IF(SUMPRODUCT(('alle Dateien'!B:B=Bohrungen!B132)*('alle Dateien'!D:D="ZIP oder R"))&gt;0,1,0)</f>
        <v>0</v>
      </c>
      <c r="R132">
        <f>IF(SUMPRODUCT(('alle Dateien'!B:B=Bohrungen!B132)*('alle Dateien'!D:D="tsf"))&gt;0,1,0)</f>
        <v>0</v>
      </c>
      <c r="S132">
        <f>IF(SUMPRODUCT(('alle Dateien'!B:B=Bohrungen!B132)*('alle Dateien'!D:D="sch"))&gt;0,1,0)</f>
        <v>0</v>
      </c>
      <c r="U132" t="str">
        <f t="shared" si="4"/>
        <v>10000000000000000</v>
      </c>
      <c r="V132" t="str">
        <f>VLOOKUP(U132,Kategorie!B:C,2,FALSE)</f>
        <v>pdf</v>
      </c>
    </row>
    <row r="133" spans="1:22" x14ac:dyDescent="0.25">
      <c r="A133">
        <v>132</v>
      </c>
      <c r="B133" t="s">
        <v>2218</v>
      </c>
      <c r="C133" s="2">
        <f>IF(SUMPRODUCT(('alle Dateien'!B:B=Bohrungen!B133)*('alle Dateien'!D:D="pdf"))&gt;0,1,0)</f>
        <v>1</v>
      </c>
      <c r="D133">
        <f>IF(SUMPRODUCT(('alle Dateien'!B:B=Bohrungen!B133)*('alle Dateien'!D:D="tif"))&gt;0,1,0)</f>
        <v>0</v>
      </c>
      <c r="E133">
        <f>IF(SUMPRODUCT(('alle Dateien'!B:B=Bohrungen!B133)*('alle Dateien'!D:D="sdg"))&gt;0,1,0)</f>
        <v>0</v>
      </c>
      <c r="F133">
        <f>IF(SUMPRODUCT(('alle Dateien'!B:B=Bohrungen!B133)*('alle Dateien'!D:D="xlsx"))&gt;0,1,0)</f>
        <v>0</v>
      </c>
      <c r="G133">
        <f>IF(SUMPRODUCT(('alle Dateien'!B:B=Bohrungen!B133)*('alle Dateien'!D:D="docx"))&gt;0,1,0)</f>
        <v>0</v>
      </c>
      <c r="H133">
        <f>IF(SUMPRODUCT(('alle Dateien'!B:B=Bohrungen!B133)*('alle Dateien'!D:D="las"))&gt;0,1,0)</f>
        <v>0</v>
      </c>
      <c r="I133">
        <f>IF(SUMPRODUCT(('alle Dateien'!B:B=Bohrungen!B133)*('alle Dateien'!D:D="db"))&gt;0,1,0)</f>
        <v>0</v>
      </c>
      <c r="J133">
        <f>IF(SUMPRODUCT(('alle Dateien'!B:B=Bohrungen!B133)*('alle Dateien'!D:D="rhistory"))&gt;0,1,0)</f>
        <v>0</v>
      </c>
      <c r="K133">
        <f>IF(SUMPRODUCT(('alle Dateien'!B:B=Bohrungen!B133)*('alle Dateien'!D:D="mdb"))&gt;0,1,0)</f>
        <v>0</v>
      </c>
      <c r="L133">
        <f>IF(SUMPRODUCT(('alle Dateien'!B:B=Bohrungen!B133)*('alle Dateien'!D:D="xml"))&gt;0,1,0)</f>
        <v>0</v>
      </c>
      <c r="M133">
        <f>IF(SUMPRODUCT(('alle Dateien'!B:B=Bohrungen!B133)*('alle Dateien'!D:D="jpg"))&gt;0,1,0)</f>
        <v>0</v>
      </c>
      <c r="N133">
        <f>IF(SUMPRODUCT(('alle Dateien'!B:B=Bohrungen!B133)*('alle Dateien'!D:D="png"))&gt;0,1,0)</f>
        <v>0</v>
      </c>
      <c r="O133">
        <f>IF(SUMPRODUCT(('alle Dateien'!B:B=Bohrungen!B133)*('alle Dateien'!D:D="xls"))&gt;0,1,0)</f>
        <v>0</v>
      </c>
      <c r="P133">
        <f>IF(SUMPRODUCT(('alle Dateien'!B:B=Bohrungen!B133)*('alle Dateien'!D:D="txt"))&gt;0,1,0)</f>
        <v>0</v>
      </c>
      <c r="Q133">
        <f>IF(SUMPRODUCT(('alle Dateien'!B:B=Bohrungen!B133)*('alle Dateien'!D:D="ZIP oder R"))&gt;0,1,0)</f>
        <v>0</v>
      </c>
      <c r="R133">
        <f>IF(SUMPRODUCT(('alle Dateien'!B:B=Bohrungen!B133)*('alle Dateien'!D:D="tsf"))&gt;0,1,0)</f>
        <v>0</v>
      </c>
      <c r="S133">
        <f>IF(SUMPRODUCT(('alle Dateien'!B:B=Bohrungen!B133)*('alle Dateien'!D:D="sch"))&gt;0,1,0)</f>
        <v>0</v>
      </c>
      <c r="U133" t="str">
        <f t="shared" si="4"/>
        <v>10000000000000000</v>
      </c>
      <c r="V133" t="str">
        <f>VLOOKUP(U133,Kategorie!B:C,2,FALSE)</f>
        <v>pdf</v>
      </c>
    </row>
    <row r="134" spans="1:22" x14ac:dyDescent="0.25">
      <c r="A134">
        <v>133</v>
      </c>
      <c r="B134" t="s">
        <v>2219</v>
      </c>
      <c r="C134" s="2">
        <f>IF(SUMPRODUCT(('alle Dateien'!B:B=Bohrungen!B134)*('alle Dateien'!D:D="pdf"))&gt;0,1,0)</f>
        <v>1</v>
      </c>
      <c r="D134">
        <f>IF(SUMPRODUCT(('alle Dateien'!B:B=Bohrungen!B134)*('alle Dateien'!D:D="tif"))&gt;0,1,0)</f>
        <v>0</v>
      </c>
      <c r="E134">
        <f>IF(SUMPRODUCT(('alle Dateien'!B:B=Bohrungen!B134)*('alle Dateien'!D:D="sdg"))&gt;0,1,0)</f>
        <v>0</v>
      </c>
      <c r="F134">
        <f>IF(SUMPRODUCT(('alle Dateien'!B:B=Bohrungen!B134)*('alle Dateien'!D:D="xlsx"))&gt;0,1,0)</f>
        <v>0</v>
      </c>
      <c r="G134">
        <f>IF(SUMPRODUCT(('alle Dateien'!B:B=Bohrungen!B134)*('alle Dateien'!D:D="docx"))&gt;0,1,0)</f>
        <v>0</v>
      </c>
      <c r="H134">
        <f>IF(SUMPRODUCT(('alle Dateien'!B:B=Bohrungen!B134)*('alle Dateien'!D:D="las"))&gt;0,1,0)</f>
        <v>0</v>
      </c>
      <c r="I134">
        <f>IF(SUMPRODUCT(('alle Dateien'!B:B=Bohrungen!B134)*('alle Dateien'!D:D="db"))&gt;0,1,0)</f>
        <v>0</v>
      </c>
      <c r="J134">
        <f>IF(SUMPRODUCT(('alle Dateien'!B:B=Bohrungen!B134)*('alle Dateien'!D:D="rhistory"))&gt;0,1,0)</f>
        <v>0</v>
      </c>
      <c r="K134">
        <f>IF(SUMPRODUCT(('alle Dateien'!B:B=Bohrungen!B134)*('alle Dateien'!D:D="mdb"))&gt;0,1,0)</f>
        <v>0</v>
      </c>
      <c r="L134">
        <f>IF(SUMPRODUCT(('alle Dateien'!B:B=Bohrungen!B134)*('alle Dateien'!D:D="xml"))&gt;0,1,0)</f>
        <v>0</v>
      </c>
      <c r="M134">
        <f>IF(SUMPRODUCT(('alle Dateien'!B:B=Bohrungen!B134)*('alle Dateien'!D:D="jpg"))&gt;0,1,0)</f>
        <v>0</v>
      </c>
      <c r="N134">
        <f>IF(SUMPRODUCT(('alle Dateien'!B:B=Bohrungen!B134)*('alle Dateien'!D:D="png"))&gt;0,1,0)</f>
        <v>0</v>
      </c>
      <c r="O134">
        <f>IF(SUMPRODUCT(('alle Dateien'!B:B=Bohrungen!B134)*('alle Dateien'!D:D="xls"))&gt;0,1,0)</f>
        <v>0</v>
      </c>
      <c r="P134">
        <f>IF(SUMPRODUCT(('alle Dateien'!B:B=Bohrungen!B134)*('alle Dateien'!D:D="txt"))&gt;0,1,0)</f>
        <v>0</v>
      </c>
      <c r="Q134">
        <f>IF(SUMPRODUCT(('alle Dateien'!B:B=Bohrungen!B134)*('alle Dateien'!D:D="ZIP oder R"))&gt;0,1,0)</f>
        <v>0</v>
      </c>
      <c r="R134">
        <f>IF(SUMPRODUCT(('alle Dateien'!B:B=Bohrungen!B134)*('alle Dateien'!D:D="tsf"))&gt;0,1,0)</f>
        <v>0</v>
      </c>
      <c r="S134">
        <f>IF(SUMPRODUCT(('alle Dateien'!B:B=Bohrungen!B134)*('alle Dateien'!D:D="sch"))&gt;0,1,0)</f>
        <v>0</v>
      </c>
      <c r="U134" t="str">
        <f t="shared" si="4"/>
        <v>10000000000000000</v>
      </c>
      <c r="V134" t="str">
        <f>VLOOKUP(U134,Kategorie!B:C,2,FALSE)</f>
        <v>pdf</v>
      </c>
    </row>
    <row r="135" spans="1:22" x14ac:dyDescent="0.25">
      <c r="A135">
        <v>134</v>
      </c>
      <c r="B135" t="s">
        <v>2220</v>
      </c>
      <c r="C135" s="2">
        <f>IF(SUMPRODUCT(('alle Dateien'!B:B=Bohrungen!B135)*('alle Dateien'!D:D="pdf"))&gt;0,1,0)</f>
        <v>1</v>
      </c>
      <c r="D135">
        <f>IF(SUMPRODUCT(('alle Dateien'!B:B=Bohrungen!B135)*('alle Dateien'!D:D="tif"))&gt;0,1,0)</f>
        <v>0</v>
      </c>
      <c r="E135">
        <f>IF(SUMPRODUCT(('alle Dateien'!B:B=Bohrungen!B135)*('alle Dateien'!D:D="sdg"))&gt;0,1,0)</f>
        <v>0</v>
      </c>
      <c r="F135">
        <f>IF(SUMPRODUCT(('alle Dateien'!B:B=Bohrungen!B135)*('alle Dateien'!D:D="xlsx"))&gt;0,1,0)</f>
        <v>0</v>
      </c>
      <c r="G135">
        <f>IF(SUMPRODUCT(('alle Dateien'!B:B=Bohrungen!B135)*('alle Dateien'!D:D="docx"))&gt;0,1,0)</f>
        <v>0</v>
      </c>
      <c r="H135">
        <f>IF(SUMPRODUCT(('alle Dateien'!B:B=Bohrungen!B135)*('alle Dateien'!D:D="las"))&gt;0,1,0)</f>
        <v>0</v>
      </c>
      <c r="I135">
        <f>IF(SUMPRODUCT(('alle Dateien'!B:B=Bohrungen!B135)*('alle Dateien'!D:D="db"))&gt;0,1,0)</f>
        <v>0</v>
      </c>
      <c r="J135">
        <f>IF(SUMPRODUCT(('alle Dateien'!B:B=Bohrungen!B135)*('alle Dateien'!D:D="rhistory"))&gt;0,1,0)</f>
        <v>0</v>
      </c>
      <c r="K135">
        <f>IF(SUMPRODUCT(('alle Dateien'!B:B=Bohrungen!B135)*('alle Dateien'!D:D="mdb"))&gt;0,1,0)</f>
        <v>0</v>
      </c>
      <c r="L135">
        <f>IF(SUMPRODUCT(('alle Dateien'!B:B=Bohrungen!B135)*('alle Dateien'!D:D="xml"))&gt;0,1,0)</f>
        <v>0</v>
      </c>
      <c r="M135">
        <f>IF(SUMPRODUCT(('alle Dateien'!B:B=Bohrungen!B135)*('alle Dateien'!D:D="jpg"))&gt;0,1,0)</f>
        <v>0</v>
      </c>
      <c r="N135">
        <f>IF(SUMPRODUCT(('alle Dateien'!B:B=Bohrungen!B135)*('alle Dateien'!D:D="png"))&gt;0,1,0)</f>
        <v>0</v>
      </c>
      <c r="O135">
        <f>IF(SUMPRODUCT(('alle Dateien'!B:B=Bohrungen!B135)*('alle Dateien'!D:D="xls"))&gt;0,1,0)</f>
        <v>0</v>
      </c>
      <c r="P135">
        <f>IF(SUMPRODUCT(('alle Dateien'!B:B=Bohrungen!B135)*('alle Dateien'!D:D="txt"))&gt;0,1,0)</f>
        <v>0</v>
      </c>
      <c r="Q135">
        <f>IF(SUMPRODUCT(('alle Dateien'!B:B=Bohrungen!B135)*('alle Dateien'!D:D="ZIP oder R"))&gt;0,1,0)</f>
        <v>0</v>
      </c>
      <c r="R135">
        <f>IF(SUMPRODUCT(('alle Dateien'!B:B=Bohrungen!B135)*('alle Dateien'!D:D="tsf"))&gt;0,1,0)</f>
        <v>0</v>
      </c>
      <c r="S135">
        <f>IF(SUMPRODUCT(('alle Dateien'!B:B=Bohrungen!B135)*('alle Dateien'!D:D="sch"))&gt;0,1,0)</f>
        <v>0</v>
      </c>
      <c r="U135" t="str">
        <f t="shared" si="4"/>
        <v>10000000000000000</v>
      </c>
      <c r="V135" t="str">
        <f>VLOOKUP(U135,Kategorie!B:C,2,FALSE)</f>
        <v>pdf</v>
      </c>
    </row>
    <row r="136" spans="1:22" x14ac:dyDescent="0.25">
      <c r="A136">
        <v>135</v>
      </c>
      <c r="B136" t="s">
        <v>2221</v>
      </c>
      <c r="C136" s="2">
        <f>IF(SUMPRODUCT(('alle Dateien'!B:B=Bohrungen!B136)*('alle Dateien'!D:D="pdf"))&gt;0,1,0)</f>
        <v>1</v>
      </c>
      <c r="D136">
        <f>IF(SUMPRODUCT(('alle Dateien'!B:B=Bohrungen!B136)*('alle Dateien'!D:D="tif"))&gt;0,1,0)</f>
        <v>0</v>
      </c>
      <c r="E136">
        <f>IF(SUMPRODUCT(('alle Dateien'!B:B=Bohrungen!B136)*('alle Dateien'!D:D="sdg"))&gt;0,1,0)</f>
        <v>0</v>
      </c>
      <c r="F136">
        <f>IF(SUMPRODUCT(('alle Dateien'!B:B=Bohrungen!B136)*('alle Dateien'!D:D="xlsx"))&gt;0,1,0)</f>
        <v>0</v>
      </c>
      <c r="G136">
        <f>IF(SUMPRODUCT(('alle Dateien'!B:B=Bohrungen!B136)*('alle Dateien'!D:D="docx"))&gt;0,1,0)</f>
        <v>0</v>
      </c>
      <c r="H136">
        <f>IF(SUMPRODUCT(('alle Dateien'!B:B=Bohrungen!B136)*('alle Dateien'!D:D="las"))&gt;0,1,0)</f>
        <v>0</v>
      </c>
      <c r="I136">
        <f>IF(SUMPRODUCT(('alle Dateien'!B:B=Bohrungen!B136)*('alle Dateien'!D:D="db"))&gt;0,1,0)</f>
        <v>0</v>
      </c>
      <c r="J136">
        <f>IF(SUMPRODUCT(('alle Dateien'!B:B=Bohrungen!B136)*('alle Dateien'!D:D="rhistory"))&gt;0,1,0)</f>
        <v>0</v>
      </c>
      <c r="K136">
        <f>IF(SUMPRODUCT(('alle Dateien'!B:B=Bohrungen!B136)*('alle Dateien'!D:D="mdb"))&gt;0,1,0)</f>
        <v>0</v>
      </c>
      <c r="L136">
        <f>IF(SUMPRODUCT(('alle Dateien'!B:B=Bohrungen!B136)*('alle Dateien'!D:D="xml"))&gt;0,1,0)</f>
        <v>0</v>
      </c>
      <c r="M136">
        <f>IF(SUMPRODUCT(('alle Dateien'!B:B=Bohrungen!B136)*('alle Dateien'!D:D="jpg"))&gt;0,1,0)</f>
        <v>0</v>
      </c>
      <c r="N136">
        <f>IF(SUMPRODUCT(('alle Dateien'!B:B=Bohrungen!B136)*('alle Dateien'!D:D="png"))&gt;0,1,0)</f>
        <v>0</v>
      </c>
      <c r="O136">
        <f>IF(SUMPRODUCT(('alle Dateien'!B:B=Bohrungen!B136)*('alle Dateien'!D:D="xls"))&gt;0,1,0)</f>
        <v>0</v>
      </c>
      <c r="P136">
        <f>IF(SUMPRODUCT(('alle Dateien'!B:B=Bohrungen!B136)*('alle Dateien'!D:D="txt"))&gt;0,1,0)</f>
        <v>0</v>
      </c>
      <c r="Q136">
        <f>IF(SUMPRODUCT(('alle Dateien'!B:B=Bohrungen!B136)*('alle Dateien'!D:D="ZIP oder R"))&gt;0,1,0)</f>
        <v>0</v>
      </c>
      <c r="R136">
        <f>IF(SUMPRODUCT(('alle Dateien'!B:B=Bohrungen!B136)*('alle Dateien'!D:D="tsf"))&gt;0,1,0)</f>
        <v>0</v>
      </c>
      <c r="S136">
        <f>IF(SUMPRODUCT(('alle Dateien'!B:B=Bohrungen!B136)*('alle Dateien'!D:D="sch"))&gt;0,1,0)</f>
        <v>0</v>
      </c>
      <c r="U136" t="str">
        <f t="shared" si="4"/>
        <v>10000000000000000</v>
      </c>
      <c r="V136" t="str">
        <f>VLOOKUP(U136,Kategorie!B:C,2,FALSE)</f>
        <v>pdf</v>
      </c>
    </row>
    <row r="137" spans="1:22" x14ac:dyDescent="0.25">
      <c r="A137">
        <v>136</v>
      </c>
      <c r="B137" t="s">
        <v>2222</v>
      </c>
      <c r="C137" s="2">
        <f>IF(SUMPRODUCT(('alle Dateien'!B:B=Bohrungen!B137)*('alle Dateien'!D:D="pdf"))&gt;0,1,0)</f>
        <v>0</v>
      </c>
      <c r="D137">
        <f>IF(SUMPRODUCT(('alle Dateien'!B:B=Bohrungen!B137)*('alle Dateien'!D:D="tif"))&gt;0,1,0)</f>
        <v>0</v>
      </c>
      <c r="E137">
        <f>IF(SUMPRODUCT(('alle Dateien'!B:B=Bohrungen!B137)*('alle Dateien'!D:D="sdg"))&gt;0,1,0)</f>
        <v>1</v>
      </c>
      <c r="F137">
        <f>IF(SUMPRODUCT(('alle Dateien'!B:B=Bohrungen!B137)*('alle Dateien'!D:D="xlsx"))&gt;0,1,0)</f>
        <v>1</v>
      </c>
      <c r="G137">
        <f>IF(SUMPRODUCT(('alle Dateien'!B:B=Bohrungen!B137)*('alle Dateien'!D:D="docx"))&gt;0,1,0)</f>
        <v>0</v>
      </c>
      <c r="H137">
        <f>IF(SUMPRODUCT(('alle Dateien'!B:B=Bohrungen!B137)*('alle Dateien'!D:D="las"))&gt;0,1,0)</f>
        <v>1</v>
      </c>
      <c r="I137">
        <f>IF(SUMPRODUCT(('alle Dateien'!B:B=Bohrungen!B137)*('alle Dateien'!D:D="db"))&gt;0,1,0)</f>
        <v>0</v>
      </c>
      <c r="J137">
        <f>IF(SUMPRODUCT(('alle Dateien'!B:B=Bohrungen!B137)*('alle Dateien'!D:D="rhistory"))&gt;0,1,0)</f>
        <v>0</v>
      </c>
      <c r="K137">
        <f>IF(SUMPRODUCT(('alle Dateien'!B:B=Bohrungen!B137)*('alle Dateien'!D:D="mdb"))&gt;0,1,0)</f>
        <v>0</v>
      </c>
      <c r="L137">
        <f>IF(SUMPRODUCT(('alle Dateien'!B:B=Bohrungen!B137)*('alle Dateien'!D:D="xml"))&gt;0,1,0)</f>
        <v>0</v>
      </c>
      <c r="M137">
        <f>IF(SUMPRODUCT(('alle Dateien'!B:B=Bohrungen!B137)*('alle Dateien'!D:D="jpg"))&gt;0,1,0)</f>
        <v>0</v>
      </c>
      <c r="N137">
        <f>IF(SUMPRODUCT(('alle Dateien'!B:B=Bohrungen!B137)*('alle Dateien'!D:D="png"))&gt;0,1,0)</f>
        <v>0</v>
      </c>
      <c r="O137">
        <f>IF(SUMPRODUCT(('alle Dateien'!B:B=Bohrungen!B137)*('alle Dateien'!D:D="xls"))&gt;0,1,0)</f>
        <v>0</v>
      </c>
      <c r="P137">
        <f>IF(SUMPRODUCT(('alle Dateien'!B:B=Bohrungen!B137)*('alle Dateien'!D:D="txt"))&gt;0,1,0)</f>
        <v>0</v>
      </c>
      <c r="Q137">
        <f>IF(SUMPRODUCT(('alle Dateien'!B:B=Bohrungen!B137)*('alle Dateien'!D:D="ZIP oder R"))&gt;0,1,0)</f>
        <v>0</v>
      </c>
      <c r="R137">
        <f>IF(SUMPRODUCT(('alle Dateien'!B:B=Bohrungen!B137)*('alle Dateien'!D:D="tsf"))&gt;0,1,0)</f>
        <v>0</v>
      </c>
      <c r="S137">
        <f>IF(SUMPRODUCT(('alle Dateien'!B:B=Bohrungen!B137)*('alle Dateien'!D:D="sch"))&gt;0,1,0)</f>
        <v>0</v>
      </c>
      <c r="U137" t="str">
        <f t="shared" si="4"/>
        <v>00110100000000000</v>
      </c>
      <c r="V137" t="str">
        <f>VLOOKUP(U137,Kategorie!B:C,2,FALSE)</f>
        <v>sdg/ xlsx/ las</v>
      </c>
    </row>
    <row r="138" spans="1:22" x14ac:dyDescent="0.25">
      <c r="A138">
        <v>137</v>
      </c>
      <c r="B138" t="s">
        <v>2223</v>
      </c>
      <c r="C138" s="2">
        <f>IF(SUMPRODUCT(('alle Dateien'!B:B=Bohrungen!B138)*('alle Dateien'!D:D="pdf"))&gt;0,1,0)</f>
        <v>1</v>
      </c>
      <c r="D138">
        <f>IF(SUMPRODUCT(('alle Dateien'!B:B=Bohrungen!B138)*('alle Dateien'!D:D="tif"))&gt;0,1,0)</f>
        <v>0</v>
      </c>
      <c r="E138">
        <f>IF(SUMPRODUCT(('alle Dateien'!B:B=Bohrungen!B138)*('alle Dateien'!D:D="sdg"))&gt;0,1,0)</f>
        <v>1</v>
      </c>
      <c r="F138">
        <f>IF(SUMPRODUCT(('alle Dateien'!B:B=Bohrungen!B138)*('alle Dateien'!D:D="xlsx"))&gt;0,1,0)</f>
        <v>1</v>
      </c>
      <c r="G138">
        <f>IF(SUMPRODUCT(('alle Dateien'!B:B=Bohrungen!B138)*('alle Dateien'!D:D="docx"))&gt;0,1,0)</f>
        <v>0</v>
      </c>
      <c r="H138">
        <f>IF(SUMPRODUCT(('alle Dateien'!B:B=Bohrungen!B138)*('alle Dateien'!D:D="las"))&gt;0,1,0)</f>
        <v>1</v>
      </c>
      <c r="I138">
        <f>IF(SUMPRODUCT(('alle Dateien'!B:B=Bohrungen!B138)*('alle Dateien'!D:D="db"))&gt;0,1,0)</f>
        <v>0</v>
      </c>
      <c r="J138">
        <f>IF(SUMPRODUCT(('alle Dateien'!B:B=Bohrungen!B138)*('alle Dateien'!D:D="rhistory"))&gt;0,1,0)</f>
        <v>0</v>
      </c>
      <c r="K138">
        <f>IF(SUMPRODUCT(('alle Dateien'!B:B=Bohrungen!B138)*('alle Dateien'!D:D="mdb"))&gt;0,1,0)</f>
        <v>0</v>
      </c>
      <c r="L138">
        <f>IF(SUMPRODUCT(('alle Dateien'!B:B=Bohrungen!B138)*('alle Dateien'!D:D="xml"))&gt;0,1,0)</f>
        <v>0</v>
      </c>
      <c r="M138">
        <f>IF(SUMPRODUCT(('alle Dateien'!B:B=Bohrungen!B138)*('alle Dateien'!D:D="jpg"))&gt;0,1,0)</f>
        <v>0</v>
      </c>
      <c r="N138">
        <f>IF(SUMPRODUCT(('alle Dateien'!B:B=Bohrungen!B138)*('alle Dateien'!D:D="png"))&gt;0,1,0)</f>
        <v>0</v>
      </c>
      <c r="O138">
        <f>IF(SUMPRODUCT(('alle Dateien'!B:B=Bohrungen!B138)*('alle Dateien'!D:D="xls"))&gt;0,1,0)</f>
        <v>0</v>
      </c>
      <c r="P138">
        <f>IF(SUMPRODUCT(('alle Dateien'!B:B=Bohrungen!B138)*('alle Dateien'!D:D="txt"))&gt;0,1,0)</f>
        <v>0</v>
      </c>
      <c r="Q138">
        <f>IF(SUMPRODUCT(('alle Dateien'!B:B=Bohrungen!B138)*('alle Dateien'!D:D="ZIP oder R"))&gt;0,1,0)</f>
        <v>0</v>
      </c>
      <c r="R138">
        <f>IF(SUMPRODUCT(('alle Dateien'!B:B=Bohrungen!B138)*('alle Dateien'!D:D="tsf"))&gt;0,1,0)</f>
        <v>0</v>
      </c>
      <c r="S138">
        <f>IF(SUMPRODUCT(('alle Dateien'!B:B=Bohrungen!B138)*('alle Dateien'!D:D="sch"))&gt;0,1,0)</f>
        <v>0</v>
      </c>
      <c r="U138" t="str">
        <f t="shared" si="4"/>
        <v>10110100000000000</v>
      </c>
      <c r="V138" t="str">
        <f>VLOOKUP(U138,Kategorie!B:C,2,FALSE)</f>
        <v>pdf/ sdg/ xlsx/ las</v>
      </c>
    </row>
    <row r="139" spans="1:22" x14ac:dyDescent="0.25">
      <c r="A139">
        <v>138</v>
      </c>
      <c r="B139" t="s">
        <v>2224</v>
      </c>
      <c r="C139" s="2">
        <f>IF(SUMPRODUCT(('alle Dateien'!B:B=Bohrungen!B139)*('alle Dateien'!D:D="pdf"))&gt;0,1,0)</f>
        <v>1</v>
      </c>
      <c r="D139">
        <f>IF(SUMPRODUCT(('alle Dateien'!B:B=Bohrungen!B139)*('alle Dateien'!D:D="tif"))&gt;0,1,0)</f>
        <v>0</v>
      </c>
      <c r="E139">
        <f>IF(SUMPRODUCT(('alle Dateien'!B:B=Bohrungen!B139)*('alle Dateien'!D:D="sdg"))&gt;0,1,0)</f>
        <v>1</v>
      </c>
      <c r="F139">
        <f>IF(SUMPRODUCT(('alle Dateien'!B:B=Bohrungen!B139)*('alle Dateien'!D:D="xlsx"))&gt;0,1,0)</f>
        <v>1</v>
      </c>
      <c r="G139">
        <f>IF(SUMPRODUCT(('alle Dateien'!B:B=Bohrungen!B139)*('alle Dateien'!D:D="docx"))&gt;0,1,0)</f>
        <v>0</v>
      </c>
      <c r="H139">
        <f>IF(SUMPRODUCT(('alle Dateien'!B:B=Bohrungen!B139)*('alle Dateien'!D:D="las"))&gt;0,1,0)</f>
        <v>1</v>
      </c>
      <c r="I139">
        <f>IF(SUMPRODUCT(('alle Dateien'!B:B=Bohrungen!B139)*('alle Dateien'!D:D="db"))&gt;0,1,0)</f>
        <v>0</v>
      </c>
      <c r="J139">
        <f>IF(SUMPRODUCT(('alle Dateien'!B:B=Bohrungen!B139)*('alle Dateien'!D:D="rhistory"))&gt;0,1,0)</f>
        <v>0</v>
      </c>
      <c r="K139">
        <f>IF(SUMPRODUCT(('alle Dateien'!B:B=Bohrungen!B139)*('alle Dateien'!D:D="mdb"))&gt;0,1,0)</f>
        <v>0</v>
      </c>
      <c r="L139">
        <f>IF(SUMPRODUCT(('alle Dateien'!B:B=Bohrungen!B139)*('alle Dateien'!D:D="xml"))&gt;0,1,0)</f>
        <v>0</v>
      </c>
      <c r="M139">
        <f>IF(SUMPRODUCT(('alle Dateien'!B:B=Bohrungen!B139)*('alle Dateien'!D:D="jpg"))&gt;0,1,0)</f>
        <v>0</v>
      </c>
      <c r="N139">
        <f>IF(SUMPRODUCT(('alle Dateien'!B:B=Bohrungen!B139)*('alle Dateien'!D:D="png"))&gt;0,1,0)</f>
        <v>0</v>
      </c>
      <c r="O139">
        <f>IF(SUMPRODUCT(('alle Dateien'!B:B=Bohrungen!B139)*('alle Dateien'!D:D="xls"))&gt;0,1,0)</f>
        <v>0</v>
      </c>
      <c r="P139">
        <f>IF(SUMPRODUCT(('alle Dateien'!B:B=Bohrungen!B139)*('alle Dateien'!D:D="txt"))&gt;0,1,0)</f>
        <v>0</v>
      </c>
      <c r="Q139">
        <f>IF(SUMPRODUCT(('alle Dateien'!B:B=Bohrungen!B139)*('alle Dateien'!D:D="ZIP oder R"))&gt;0,1,0)</f>
        <v>0</v>
      </c>
      <c r="R139">
        <f>IF(SUMPRODUCT(('alle Dateien'!B:B=Bohrungen!B139)*('alle Dateien'!D:D="tsf"))&gt;0,1,0)</f>
        <v>0</v>
      </c>
      <c r="S139">
        <f>IF(SUMPRODUCT(('alle Dateien'!B:B=Bohrungen!B139)*('alle Dateien'!D:D="sch"))&gt;0,1,0)</f>
        <v>0</v>
      </c>
      <c r="U139" t="str">
        <f t="shared" si="4"/>
        <v>10110100000000000</v>
      </c>
      <c r="V139" t="str">
        <f>VLOOKUP(U139,Kategorie!B:C,2,FALSE)</f>
        <v>pdf/ sdg/ xlsx/ las</v>
      </c>
    </row>
    <row r="140" spans="1:22" x14ac:dyDescent="0.25">
      <c r="A140">
        <v>139</v>
      </c>
      <c r="B140" t="s">
        <v>2225</v>
      </c>
      <c r="C140" s="2">
        <f>IF(SUMPRODUCT(('alle Dateien'!B:B=Bohrungen!B140)*('alle Dateien'!D:D="pdf"))&gt;0,1,0)</f>
        <v>1</v>
      </c>
      <c r="D140">
        <f>IF(SUMPRODUCT(('alle Dateien'!B:B=Bohrungen!B140)*('alle Dateien'!D:D="tif"))&gt;0,1,0)</f>
        <v>0</v>
      </c>
      <c r="E140">
        <f>IF(SUMPRODUCT(('alle Dateien'!B:B=Bohrungen!B140)*('alle Dateien'!D:D="sdg"))&gt;0,1,0)</f>
        <v>0</v>
      </c>
      <c r="F140">
        <f>IF(SUMPRODUCT(('alle Dateien'!B:B=Bohrungen!B140)*('alle Dateien'!D:D="xlsx"))&gt;0,1,0)</f>
        <v>0</v>
      </c>
      <c r="G140">
        <f>IF(SUMPRODUCT(('alle Dateien'!B:B=Bohrungen!B140)*('alle Dateien'!D:D="docx"))&gt;0,1,0)</f>
        <v>0</v>
      </c>
      <c r="H140">
        <f>IF(SUMPRODUCT(('alle Dateien'!B:B=Bohrungen!B140)*('alle Dateien'!D:D="las"))&gt;0,1,0)</f>
        <v>0</v>
      </c>
      <c r="I140">
        <f>IF(SUMPRODUCT(('alle Dateien'!B:B=Bohrungen!B140)*('alle Dateien'!D:D="db"))&gt;0,1,0)</f>
        <v>0</v>
      </c>
      <c r="J140">
        <f>IF(SUMPRODUCT(('alle Dateien'!B:B=Bohrungen!B140)*('alle Dateien'!D:D="rhistory"))&gt;0,1,0)</f>
        <v>0</v>
      </c>
      <c r="K140">
        <f>IF(SUMPRODUCT(('alle Dateien'!B:B=Bohrungen!B140)*('alle Dateien'!D:D="mdb"))&gt;0,1,0)</f>
        <v>0</v>
      </c>
      <c r="L140">
        <f>IF(SUMPRODUCT(('alle Dateien'!B:B=Bohrungen!B140)*('alle Dateien'!D:D="xml"))&gt;0,1,0)</f>
        <v>0</v>
      </c>
      <c r="M140">
        <f>IF(SUMPRODUCT(('alle Dateien'!B:B=Bohrungen!B140)*('alle Dateien'!D:D="jpg"))&gt;0,1,0)</f>
        <v>0</v>
      </c>
      <c r="N140">
        <f>IF(SUMPRODUCT(('alle Dateien'!B:B=Bohrungen!B140)*('alle Dateien'!D:D="png"))&gt;0,1,0)</f>
        <v>0</v>
      </c>
      <c r="O140">
        <f>IF(SUMPRODUCT(('alle Dateien'!B:B=Bohrungen!B140)*('alle Dateien'!D:D="xls"))&gt;0,1,0)</f>
        <v>0</v>
      </c>
      <c r="P140">
        <f>IF(SUMPRODUCT(('alle Dateien'!B:B=Bohrungen!B140)*('alle Dateien'!D:D="txt"))&gt;0,1,0)</f>
        <v>0</v>
      </c>
      <c r="Q140">
        <f>IF(SUMPRODUCT(('alle Dateien'!B:B=Bohrungen!B140)*('alle Dateien'!D:D="ZIP oder R"))&gt;0,1,0)</f>
        <v>0</v>
      </c>
      <c r="R140">
        <f>IF(SUMPRODUCT(('alle Dateien'!B:B=Bohrungen!B140)*('alle Dateien'!D:D="tsf"))&gt;0,1,0)</f>
        <v>0</v>
      </c>
      <c r="S140">
        <f>IF(SUMPRODUCT(('alle Dateien'!B:B=Bohrungen!B140)*('alle Dateien'!D:D="sch"))&gt;0,1,0)</f>
        <v>0</v>
      </c>
      <c r="U140" t="str">
        <f t="shared" si="4"/>
        <v>10000000000000000</v>
      </c>
      <c r="V140" t="str">
        <f>VLOOKUP(U140,Kategorie!B:C,2,FALSE)</f>
        <v>pdf</v>
      </c>
    </row>
    <row r="141" spans="1:22" x14ac:dyDescent="0.25">
      <c r="A141">
        <v>140</v>
      </c>
      <c r="B141" t="s">
        <v>2226</v>
      </c>
      <c r="C141" s="2">
        <f>IF(SUMPRODUCT(('alle Dateien'!B:B=Bohrungen!B141)*('alle Dateien'!D:D="pdf"))&gt;0,1,0)</f>
        <v>1</v>
      </c>
      <c r="D141">
        <f>IF(SUMPRODUCT(('alle Dateien'!B:B=Bohrungen!B141)*('alle Dateien'!D:D="tif"))&gt;0,1,0)</f>
        <v>0</v>
      </c>
      <c r="E141">
        <f>IF(SUMPRODUCT(('alle Dateien'!B:B=Bohrungen!B141)*('alle Dateien'!D:D="sdg"))&gt;0,1,0)</f>
        <v>0</v>
      </c>
      <c r="F141">
        <f>IF(SUMPRODUCT(('alle Dateien'!B:B=Bohrungen!B141)*('alle Dateien'!D:D="xlsx"))&gt;0,1,0)</f>
        <v>0</v>
      </c>
      <c r="G141">
        <f>IF(SUMPRODUCT(('alle Dateien'!B:B=Bohrungen!B141)*('alle Dateien'!D:D="docx"))&gt;0,1,0)</f>
        <v>0</v>
      </c>
      <c r="H141">
        <f>IF(SUMPRODUCT(('alle Dateien'!B:B=Bohrungen!B141)*('alle Dateien'!D:D="las"))&gt;0,1,0)</f>
        <v>0</v>
      </c>
      <c r="I141">
        <f>IF(SUMPRODUCT(('alle Dateien'!B:B=Bohrungen!B141)*('alle Dateien'!D:D="db"))&gt;0,1,0)</f>
        <v>0</v>
      </c>
      <c r="J141">
        <f>IF(SUMPRODUCT(('alle Dateien'!B:B=Bohrungen!B141)*('alle Dateien'!D:D="rhistory"))&gt;0,1,0)</f>
        <v>0</v>
      </c>
      <c r="K141">
        <f>IF(SUMPRODUCT(('alle Dateien'!B:B=Bohrungen!B141)*('alle Dateien'!D:D="mdb"))&gt;0,1,0)</f>
        <v>0</v>
      </c>
      <c r="L141">
        <f>IF(SUMPRODUCT(('alle Dateien'!B:B=Bohrungen!B141)*('alle Dateien'!D:D="xml"))&gt;0,1,0)</f>
        <v>0</v>
      </c>
      <c r="M141">
        <f>IF(SUMPRODUCT(('alle Dateien'!B:B=Bohrungen!B141)*('alle Dateien'!D:D="jpg"))&gt;0,1,0)</f>
        <v>0</v>
      </c>
      <c r="N141">
        <f>IF(SUMPRODUCT(('alle Dateien'!B:B=Bohrungen!B141)*('alle Dateien'!D:D="png"))&gt;0,1,0)</f>
        <v>0</v>
      </c>
      <c r="O141">
        <f>IF(SUMPRODUCT(('alle Dateien'!B:B=Bohrungen!B141)*('alle Dateien'!D:D="xls"))&gt;0,1,0)</f>
        <v>0</v>
      </c>
      <c r="P141">
        <f>IF(SUMPRODUCT(('alle Dateien'!B:B=Bohrungen!B141)*('alle Dateien'!D:D="txt"))&gt;0,1,0)</f>
        <v>0</v>
      </c>
      <c r="Q141">
        <f>IF(SUMPRODUCT(('alle Dateien'!B:B=Bohrungen!B141)*('alle Dateien'!D:D="ZIP oder R"))&gt;0,1,0)</f>
        <v>0</v>
      </c>
      <c r="R141">
        <f>IF(SUMPRODUCT(('alle Dateien'!B:B=Bohrungen!B141)*('alle Dateien'!D:D="tsf"))&gt;0,1,0)</f>
        <v>0</v>
      </c>
      <c r="S141">
        <f>IF(SUMPRODUCT(('alle Dateien'!B:B=Bohrungen!B141)*('alle Dateien'!D:D="sch"))&gt;0,1,0)</f>
        <v>0</v>
      </c>
      <c r="U141" t="str">
        <f t="shared" si="4"/>
        <v>10000000000000000</v>
      </c>
      <c r="V141" t="str">
        <f>VLOOKUP(U141,Kategorie!B:C,2,FALSE)</f>
        <v>pdf</v>
      </c>
    </row>
    <row r="142" spans="1:22" x14ac:dyDescent="0.25">
      <c r="A142">
        <v>141</v>
      </c>
      <c r="B142" t="s">
        <v>2227</v>
      </c>
      <c r="C142" s="2">
        <f>IF(SUMPRODUCT(('alle Dateien'!B:B=Bohrungen!B142)*('alle Dateien'!D:D="pdf"))&gt;0,1,0)</f>
        <v>1</v>
      </c>
      <c r="D142">
        <f>IF(SUMPRODUCT(('alle Dateien'!B:B=Bohrungen!B142)*('alle Dateien'!D:D="tif"))&gt;0,1,0)</f>
        <v>1</v>
      </c>
      <c r="E142">
        <f>IF(SUMPRODUCT(('alle Dateien'!B:B=Bohrungen!B142)*('alle Dateien'!D:D="sdg"))&gt;0,1,0)</f>
        <v>0</v>
      </c>
      <c r="F142">
        <f>IF(SUMPRODUCT(('alle Dateien'!B:B=Bohrungen!B142)*('alle Dateien'!D:D="xlsx"))&gt;0,1,0)</f>
        <v>0</v>
      </c>
      <c r="G142">
        <f>IF(SUMPRODUCT(('alle Dateien'!B:B=Bohrungen!B142)*('alle Dateien'!D:D="docx"))&gt;0,1,0)</f>
        <v>0</v>
      </c>
      <c r="H142">
        <f>IF(SUMPRODUCT(('alle Dateien'!B:B=Bohrungen!B142)*('alle Dateien'!D:D="las"))&gt;0,1,0)</f>
        <v>0</v>
      </c>
      <c r="I142">
        <f>IF(SUMPRODUCT(('alle Dateien'!B:B=Bohrungen!B142)*('alle Dateien'!D:D="db"))&gt;0,1,0)</f>
        <v>0</v>
      </c>
      <c r="J142">
        <f>IF(SUMPRODUCT(('alle Dateien'!B:B=Bohrungen!B142)*('alle Dateien'!D:D="rhistory"))&gt;0,1,0)</f>
        <v>0</v>
      </c>
      <c r="K142">
        <f>IF(SUMPRODUCT(('alle Dateien'!B:B=Bohrungen!B142)*('alle Dateien'!D:D="mdb"))&gt;0,1,0)</f>
        <v>0</v>
      </c>
      <c r="L142">
        <f>IF(SUMPRODUCT(('alle Dateien'!B:B=Bohrungen!B142)*('alle Dateien'!D:D="xml"))&gt;0,1,0)</f>
        <v>0</v>
      </c>
      <c r="M142">
        <f>IF(SUMPRODUCT(('alle Dateien'!B:B=Bohrungen!B142)*('alle Dateien'!D:D="jpg"))&gt;0,1,0)</f>
        <v>1</v>
      </c>
      <c r="N142">
        <f>IF(SUMPRODUCT(('alle Dateien'!B:B=Bohrungen!B142)*('alle Dateien'!D:D="png"))&gt;0,1,0)</f>
        <v>0</v>
      </c>
      <c r="O142">
        <f>IF(SUMPRODUCT(('alle Dateien'!B:B=Bohrungen!B142)*('alle Dateien'!D:D="xls"))&gt;0,1,0)</f>
        <v>0</v>
      </c>
      <c r="P142">
        <f>IF(SUMPRODUCT(('alle Dateien'!B:B=Bohrungen!B142)*('alle Dateien'!D:D="txt"))&gt;0,1,0)</f>
        <v>0</v>
      </c>
      <c r="Q142">
        <f>IF(SUMPRODUCT(('alle Dateien'!B:B=Bohrungen!B142)*('alle Dateien'!D:D="ZIP oder R"))&gt;0,1,0)</f>
        <v>0</v>
      </c>
      <c r="R142">
        <f>IF(SUMPRODUCT(('alle Dateien'!B:B=Bohrungen!B142)*('alle Dateien'!D:D="tsf"))&gt;0,1,0)</f>
        <v>0</v>
      </c>
      <c r="S142">
        <f>IF(SUMPRODUCT(('alle Dateien'!B:B=Bohrungen!B142)*('alle Dateien'!D:D="sch"))&gt;0,1,0)</f>
        <v>0</v>
      </c>
      <c r="U142" t="str">
        <f t="shared" si="4"/>
        <v>11000000001000000</v>
      </c>
      <c r="V142" t="str">
        <f>VLOOKUP(U142,Kategorie!B:C,2,FALSE)</f>
        <v>pdf/ tif/ jpg</v>
      </c>
    </row>
    <row r="143" spans="1:22" x14ac:dyDescent="0.25">
      <c r="A143">
        <v>142</v>
      </c>
      <c r="B143" t="s">
        <v>2228</v>
      </c>
      <c r="C143" s="2">
        <f>IF(SUMPRODUCT(('alle Dateien'!B:B=Bohrungen!B143)*('alle Dateien'!D:D="pdf"))&gt;0,1,0)</f>
        <v>1</v>
      </c>
      <c r="D143">
        <f>IF(SUMPRODUCT(('alle Dateien'!B:B=Bohrungen!B143)*('alle Dateien'!D:D="tif"))&gt;0,1,0)</f>
        <v>1</v>
      </c>
      <c r="E143">
        <f>IF(SUMPRODUCT(('alle Dateien'!B:B=Bohrungen!B143)*('alle Dateien'!D:D="sdg"))&gt;0,1,0)</f>
        <v>0</v>
      </c>
      <c r="F143">
        <f>IF(SUMPRODUCT(('alle Dateien'!B:B=Bohrungen!B143)*('alle Dateien'!D:D="xlsx"))&gt;0,1,0)</f>
        <v>0</v>
      </c>
      <c r="G143">
        <f>IF(SUMPRODUCT(('alle Dateien'!B:B=Bohrungen!B143)*('alle Dateien'!D:D="docx"))&gt;0,1,0)</f>
        <v>0</v>
      </c>
      <c r="H143">
        <f>IF(SUMPRODUCT(('alle Dateien'!B:B=Bohrungen!B143)*('alle Dateien'!D:D="las"))&gt;0,1,0)</f>
        <v>0</v>
      </c>
      <c r="I143">
        <f>IF(SUMPRODUCT(('alle Dateien'!B:B=Bohrungen!B143)*('alle Dateien'!D:D="db"))&gt;0,1,0)</f>
        <v>0</v>
      </c>
      <c r="J143">
        <f>IF(SUMPRODUCT(('alle Dateien'!B:B=Bohrungen!B143)*('alle Dateien'!D:D="rhistory"))&gt;0,1,0)</f>
        <v>0</v>
      </c>
      <c r="K143">
        <f>IF(SUMPRODUCT(('alle Dateien'!B:B=Bohrungen!B143)*('alle Dateien'!D:D="mdb"))&gt;0,1,0)</f>
        <v>0</v>
      </c>
      <c r="L143">
        <f>IF(SUMPRODUCT(('alle Dateien'!B:B=Bohrungen!B143)*('alle Dateien'!D:D="xml"))&gt;0,1,0)</f>
        <v>0</v>
      </c>
      <c r="M143">
        <f>IF(SUMPRODUCT(('alle Dateien'!B:B=Bohrungen!B143)*('alle Dateien'!D:D="jpg"))&gt;0,1,0)</f>
        <v>1</v>
      </c>
      <c r="N143">
        <f>IF(SUMPRODUCT(('alle Dateien'!B:B=Bohrungen!B143)*('alle Dateien'!D:D="png"))&gt;0,1,0)</f>
        <v>0</v>
      </c>
      <c r="O143">
        <f>IF(SUMPRODUCT(('alle Dateien'!B:B=Bohrungen!B143)*('alle Dateien'!D:D="xls"))&gt;0,1,0)</f>
        <v>0</v>
      </c>
      <c r="P143">
        <f>IF(SUMPRODUCT(('alle Dateien'!B:B=Bohrungen!B143)*('alle Dateien'!D:D="txt"))&gt;0,1,0)</f>
        <v>0</v>
      </c>
      <c r="Q143">
        <f>IF(SUMPRODUCT(('alle Dateien'!B:B=Bohrungen!B143)*('alle Dateien'!D:D="ZIP oder R"))&gt;0,1,0)</f>
        <v>0</v>
      </c>
      <c r="R143">
        <f>IF(SUMPRODUCT(('alle Dateien'!B:B=Bohrungen!B143)*('alle Dateien'!D:D="tsf"))&gt;0,1,0)</f>
        <v>0</v>
      </c>
      <c r="S143">
        <f>IF(SUMPRODUCT(('alle Dateien'!B:B=Bohrungen!B143)*('alle Dateien'!D:D="sch"))&gt;0,1,0)</f>
        <v>0</v>
      </c>
      <c r="U143" t="str">
        <f t="shared" si="4"/>
        <v>11000000001000000</v>
      </c>
      <c r="V143" t="str">
        <f>VLOOKUP(U143,Kategorie!B:C,2,FALSE)</f>
        <v>pdf/ tif/ jpg</v>
      </c>
    </row>
    <row r="144" spans="1:22" x14ac:dyDescent="0.25">
      <c r="A144">
        <v>143</v>
      </c>
      <c r="B144" t="s">
        <v>2229</v>
      </c>
      <c r="C144" s="2">
        <f>IF(SUMPRODUCT(('alle Dateien'!B:B=Bohrungen!B144)*('alle Dateien'!D:D="pdf"))&gt;0,1,0)</f>
        <v>0</v>
      </c>
      <c r="D144">
        <f>IF(SUMPRODUCT(('alle Dateien'!B:B=Bohrungen!B144)*('alle Dateien'!D:D="tif"))&gt;0,1,0)</f>
        <v>1</v>
      </c>
      <c r="E144">
        <f>IF(SUMPRODUCT(('alle Dateien'!B:B=Bohrungen!B144)*('alle Dateien'!D:D="sdg"))&gt;0,1,0)</f>
        <v>1</v>
      </c>
      <c r="F144">
        <f>IF(SUMPRODUCT(('alle Dateien'!B:B=Bohrungen!B144)*('alle Dateien'!D:D="xlsx"))&gt;0,1,0)</f>
        <v>1</v>
      </c>
      <c r="G144">
        <f>IF(SUMPRODUCT(('alle Dateien'!B:B=Bohrungen!B144)*('alle Dateien'!D:D="docx"))&gt;0,1,0)</f>
        <v>1</v>
      </c>
      <c r="H144">
        <f>IF(SUMPRODUCT(('alle Dateien'!B:B=Bohrungen!B144)*('alle Dateien'!D:D="las"))&gt;0,1,0)</f>
        <v>1</v>
      </c>
      <c r="I144">
        <f>IF(SUMPRODUCT(('alle Dateien'!B:B=Bohrungen!B144)*('alle Dateien'!D:D="db"))&gt;0,1,0)</f>
        <v>1</v>
      </c>
      <c r="J144">
        <f>IF(SUMPRODUCT(('alle Dateien'!B:B=Bohrungen!B144)*('alle Dateien'!D:D="rhistory"))&gt;0,1,0)</f>
        <v>0</v>
      </c>
      <c r="K144">
        <f>IF(SUMPRODUCT(('alle Dateien'!B:B=Bohrungen!B144)*('alle Dateien'!D:D="mdb"))&gt;0,1,0)</f>
        <v>0</v>
      </c>
      <c r="L144">
        <f>IF(SUMPRODUCT(('alle Dateien'!B:B=Bohrungen!B144)*('alle Dateien'!D:D="xml"))&gt;0,1,0)</f>
        <v>0</v>
      </c>
      <c r="M144">
        <f>IF(SUMPRODUCT(('alle Dateien'!B:B=Bohrungen!B144)*('alle Dateien'!D:D="jpg"))&gt;0,1,0)</f>
        <v>0</v>
      </c>
      <c r="N144">
        <f>IF(SUMPRODUCT(('alle Dateien'!B:B=Bohrungen!B144)*('alle Dateien'!D:D="png"))&gt;0,1,0)</f>
        <v>0</v>
      </c>
      <c r="O144">
        <f>IF(SUMPRODUCT(('alle Dateien'!B:B=Bohrungen!B144)*('alle Dateien'!D:D="xls"))&gt;0,1,0)</f>
        <v>0</v>
      </c>
      <c r="P144">
        <f>IF(SUMPRODUCT(('alle Dateien'!B:B=Bohrungen!B144)*('alle Dateien'!D:D="txt"))&gt;0,1,0)</f>
        <v>0</v>
      </c>
      <c r="Q144">
        <f>IF(SUMPRODUCT(('alle Dateien'!B:B=Bohrungen!B144)*('alle Dateien'!D:D="ZIP oder R"))&gt;0,1,0)</f>
        <v>0</v>
      </c>
      <c r="R144">
        <f>IF(SUMPRODUCT(('alle Dateien'!B:B=Bohrungen!B144)*('alle Dateien'!D:D="tsf"))&gt;0,1,0)</f>
        <v>0</v>
      </c>
      <c r="S144">
        <f>IF(SUMPRODUCT(('alle Dateien'!B:B=Bohrungen!B144)*('alle Dateien'!D:D="sch"))&gt;0,1,0)</f>
        <v>0</v>
      </c>
      <c r="U144" t="str">
        <f t="shared" si="4"/>
        <v>01111110000000000</v>
      </c>
      <c r="V144" t="str">
        <f>VLOOKUP(U144,Kategorie!B:C,2,FALSE)</f>
        <v>tif/ sdg/ xlsx/ docx/ las/ db</v>
      </c>
    </row>
    <row r="145" spans="1:22" x14ac:dyDescent="0.25">
      <c r="A145">
        <v>144</v>
      </c>
      <c r="B145" t="s">
        <v>2230</v>
      </c>
      <c r="C145" s="2">
        <f>IF(SUMPRODUCT(('alle Dateien'!B:B=Bohrungen!B145)*('alle Dateien'!D:D="pdf"))&gt;0,1,0)</f>
        <v>0</v>
      </c>
      <c r="D145">
        <f>IF(SUMPRODUCT(('alle Dateien'!B:B=Bohrungen!B145)*('alle Dateien'!D:D="tif"))&gt;0,1,0)</f>
        <v>1</v>
      </c>
      <c r="E145">
        <f>IF(SUMPRODUCT(('alle Dateien'!B:B=Bohrungen!B145)*('alle Dateien'!D:D="sdg"))&gt;0,1,0)</f>
        <v>0</v>
      </c>
      <c r="F145">
        <f>IF(SUMPRODUCT(('alle Dateien'!B:B=Bohrungen!B145)*('alle Dateien'!D:D="xlsx"))&gt;0,1,0)</f>
        <v>0</v>
      </c>
      <c r="G145">
        <f>IF(SUMPRODUCT(('alle Dateien'!B:B=Bohrungen!B145)*('alle Dateien'!D:D="docx"))&gt;0,1,0)</f>
        <v>0</v>
      </c>
      <c r="H145">
        <f>IF(SUMPRODUCT(('alle Dateien'!B:B=Bohrungen!B145)*('alle Dateien'!D:D="las"))&gt;0,1,0)</f>
        <v>0</v>
      </c>
      <c r="I145">
        <f>IF(SUMPRODUCT(('alle Dateien'!B:B=Bohrungen!B145)*('alle Dateien'!D:D="db"))&gt;0,1,0)</f>
        <v>0</v>
      </c>
      <c r="J145">
        <f>IF(SUMPRODUCT(('alle Dateien'!B:B=Bohrungen!B145)*('alle Dateien'!D:D="rhistory"))&gt;0,1,0)</f>
        <v>0</v>
      </c>
      <c r="K145">
        <f>IF(SUMPRODUCT(('alle Dateien'!B:B=Bohrungen!B145)*('alle Dateien'!D:D="mdb"))&gt;0,1,0)</f>
        <v>0</v>
      </c>
      <c r="L145">
        <f>IF(SUMPRODUCT(('alle Dateien'!B:B=Bohrungen!B145)*('alle Dateien'!D:D="xml"))&gt;0,1,0)</f>
        <v>0</v>
      </c>
      <c r="M145">
        <f>IF(SUMPRODUCT(('alle Dateien'!B:B=Bohrungen!B145)*('alle Dateien'!D:D="jpg"))&gt;0,1,0)</f>
        <v>0</v>
      </c>
      <c r="N145">
        <f>IF(SUMPRODUCT(('alle Dateien'!B:B=Bohrungen!B145)*('alle Dateien'!D:D="png"))&gt;0,1,0)</f>
        <v>0</v>
      </c>
      <c r="O145">
        <f>IF(SUMPRODUCT(('alle Dateien'!B:B=Bohrungen!B145)*('alle Dateien'!D:D="xls"))&gt;0,1,0)</f>
        <v>0</v>
      </c>
      <c r="P145">
        <f>IF(SUMPRODUCT(('alle Dateien'!B:B=Bohrungen!B145)*('alle Dateien'!D:D="txt"))&gt;0,1,0)</f>
        <v>0</v>
      </c>
      <c r="Q145">
        <f>IF(SUMPRODUCT(('alle Dateien'!B:B=Bohrungen!B145)*('alle Dateien'!D:D="ZIP oder R"))&gt;0,1,0)</f>
        <v>0</v>
      </c>
      <c r="R145">
        <f>IF(SUMPRODUCT(('alle Dateien'!B:B=Bohrungen!B145)*('alle Dateien'!D:D="tsf"))&gt;0,1,0)</f>
        <v>0</v>
      </c>
      <c r="S145">
        <f>IF(SUMPRODUCT(('alle Dateien'!B:B=Bohrungen!B145)*('alle Dateien'!D:D="sch"))&gt;0,1,0)</f>
        <v>0</v>
      </c>
      <c r="U145" t="str">
        <f t="shared" si="4"/>
        <v>01000000000000000</v>
      </c>
      <c r="V145" t="str">
        <f>VLOOKUP(U145,Kategorie!B:C,2,FALSE)</f>
        <v>tif</v>
      </c>
    </row>
    <row r="146" spans="1:22" x14ac:dyDescent="0.25">
      <c r="A146">
        <v>145</v>
      </c>
      <c r="B146" t="s">
        <v>2231</v>
      </c>
      <c r="C146" s="2">
        <f>IF(SUMPRODUCT(('alle Dateien'!B:B=Bohrungen!B146)*('alle Dateien'!D:D="pdf"))&gt;0,1,0)</f>
        <v>1</v>
      </c>
      <c r="D146">
        <f>IF(SUMPRODUCT(('alle Dateien'!B:B=Bohrungen!B146)*('alle Dateien'!D:D="tif"))&gt;0,1,0)</f>
        <v>1</v>
      </c>
      <c r="E146">
        <f>IF(SUMPRODUCT(('alle Dateien'!B:B=Bohrungen!B146)*('alle Dateien'!D:D="sdg"))&gt;0,1,0)</f>
        <v>0</v>
      </c>
      <c r="F146">
        <f>IF(SUMPRODUCT(('alle Dateien'!B:B=Bohrungen!B146)*('alle Dateien'!D:D="xlsx"))&gt;0,1,0)</f>
        <v>0</v>
      </c>
      <c r="G146">
        <f>IF(SUMPRODUCT(('alle Dateien'!B:B=Bohrungen!B146)*('alle Dateien'!D:D="docx"))&gt;0,1,0)</f>
        <v>0</v>
      </c>
      <c r="H146">
        <f>IF(SUMPRODUCT(('alle Dateien'!B:B=Bohrungen!B146)*('alle Dateien'!D:D="las"))&gt;0,1,0)</f>
        <v>0</v>
      </c>
      <c r="I146">
        <f>IF(SUMPRODUCT(('alle Dateien'!B:B=Bohrungen!B146)*('alle Dateien'!D:D="db"))&gt;0,1,0)</f>
        <v>0</v>
      </c>
      <c r="J146">
        <f>IF(SUMPRODUCT(('alle Dateien'!B:B=Bohrungen!B146)*('alle Dateien'!D:D="rhistory"))&gt;0,1,0)</f>
        <v>0</v>
      </c>
      <c r="K146">
        <f>IF(SUMPRODUCT(('alle Dateien'!B:B=Bohrungen!B146)*('alle Dateien'!D:D="mdb"))&gt;0,1,0)</f>
        <v>0</v>
      </c>
      <c r="L146">
        <f>IF(SUMPRODUCT(('alle Dateien'!B:B=Bohrungen!B146)*('alle Dateien'!D:D="xml"))&gt;0,1,0)</f>
        <v>0</v>
      </c>
      <c r="M146">
        <f>IF(SUMPRODUCT(('alle Dateien'!B:B=Bohrungen!B146)*('alle Dateien'!D:D="jpg"))&gt;0,1,0)</f>
        <v>0</v>
      </c>
      <c r="N146">
        <f>IF(SUMPRODUCT(('alle Dateien'!B:B=Bohrungen!B146)*('alle Dateien'!D:D="png"))&gt;0,1,0)</f>
        <v>0</v>
      </c>
      <c r="O146">
        <f>IF(SUMPRODUCT(('alle Dateien'!B:B=Bohrungen!B146)*('alle Dateien'!D:D="xls"))&gt;0,1,0)</f>
        <v>0</v>
      </c>
      <c r="P146">
        <f>IF(SUMPRODUCT(('alle Dateien'!B:B=Bohrungen!B146)*('alle Dateien'!D:D="txt"))&gt;0,1,0)</f>
        <v>0</v>
      </c>
      <c r="Q146">
        <f>IF(SUMPRODUCT(('alle Dateien'!B:B=Bohrungen!B146)*('alle Dateien'!D:D="ZIP oder R"))&gt;0,1,0)</f>
        <v>0</v>
      </c>
      <c r="R146">
        <f>IF(SUMPRODUCT(('alle Dateien'!B:B=Bohrungen!B146)*('alle Dateien'!D:D="tsf"))&gt;0,1,0)</f>
        <v>0</v>
      </c>
      <c r="S146">
        <f>IF(SUMPRODUCT(('alle Dateien'!B:B=Bohrungen!B146)*('alle Dateien'!D:D="sch"))&gt;0,1,0)</f>
        <v>0</v>
      </c>
      <c r="U146" t="str">
        <f t="shared" si="4"/>
        <v>11000000000000000</v>
      </c>
      <c r="V146" t="str">
        <f>VLOOKUP(U146,Kategorie!B:C,2,FALSE)</f>
        <v>pdf/ tif</v>
      </c>
    </row>
    <row r="147" spans="1:22" x14ac:dyDescent="0.25">
      <c r="A147">
        <v>146</v>
      </c>
      <c r="B147" t="s">
        <v>2232</v>
      </c>
      <c r="C147" s="2">
        <f>IF(SUMPRODUCT(('alle Dateien'!B:B=Bohrungen!B147)*('alle Dateien'!D:D="pdf"))&gt;0,1,0)</f>
        <v>1</v>
      </c>
      <c r="D147">
        <f>IF(SUMPRODUCT(('alle Dateien'!B:B=Bohrungen!B147)*('alle Dateien'!D:D="tif"))&gt;0,1,0)</f>
        <v>0</v>
      </c>
      <c r="E147">
        <f>IF(SUMPRODUCT(('alle Dateien'!B:B=Bohrungen!B147)*('alle Dateien'!D:D="sdg"))&gt;0,1,0)</f>
        <v>0</v>
      </c>
      <c r="F147">
        <f>IF(SUMPRODUCT(('alle Dateien'!B:B=Bohrungen!B147)*('alle Dateien'!D:D="xlsx"))&gt;0,1,0)</f>
        <v>0</v>
      </c>
      <c r="G147">
        <f>IF(SUMPRODUCT(('alle Dateien'!B:B=Bohrungen!B147)*('alle Dateien'!D:D="docx"))&gt;0,1,0)</f>
        <v>0</v>
      </c>
      <c r="H147">
        <f>IF(SUMPRODUCT(('alle Dateien'!B:B=Bohrungen!B147)*('alle Dateien'!D:D="las"))&gt;0,1,0)</f>
        <v>0</v>
      </c>
      <c r="I147">
        <f>IF(SUMPRODUCT(('alle Dateien'!B:B=Bohrungen!B147)*('alle Dateien'!D:D="db"))&gt;0,1,0)</f>
        <v>0</v>
      </c>
      <c r="J147">
        <f>IF(SUMPRODUCT(('alle Dateien'!B:B=Bohrungen!B147)*('alle Dateien'!D:D="rhistory"))&gt;0,1,0)</f>
        <v>0</v>
      </c>
      <c r="K147">
        <f>IF(SUMPRODUCT(('alle Dateien'!B:B=Bohrungen!B147)*('alle Dateien'!D:D="mdb"))&gt;0,1,0)</f>
        <v>0</v>
      </c>
      <c r="L147">
        <f>IF(SUMPRODUCT(('alle Dateien'!B:B=Bohrungen!B147)*('alle Dateien'!D:D="xml"))&gt;0,1,0)</f>
        <v>0</v>
      </c>
      <c r="M147">
        <f>IF(SUMPRODUCT(('alle Dateien'!B:B=Bohrungen!B147)*('alle Dateien'!D:D="jpg"))&gt;0,1,0)</f>
        <v>0</v>
      </c>
      <c r="N147">
        <f>IF(SUMPRODUCT(('alle Dateien'!B:B=Bohrungen!B147)*('alle Dateien'!D:D="png"))&gt;0,1,0)</f>
        <v>0</v>
      </c>
      <c r="O147">
        <f>IF(SUMPRODUCT(('alle Dateien'!B:B=Bohrungen!B147)*('alle Dateien'!D:D="xls"))&gt;0,1,0)</f>
        <v>0</v>
      </c>
      <c r="P147">
        <f>IF(SUMPRODUCT(('alle Dateien'!B:B=Bohrungen!B147)*('alle Dateien'!D:D="txt"))&gt;0,1,0)</f>
        <v>0</v>
      </c>
      <c r="Q147">
        <f>IF(SUMPRODUCT(('alle Dateien'!B:B=Bohrungen!B147)*('alle Dateien'!D:D="ZIP oder R"))&gt;0,1,0)</f>
        <v>0</v>
      </c>
      <c r="R147">
        <f>IF(SUMPRODUCT(('alle Dateien'!B:B=Bohrungen!B147)*('alle Dateien'!D:D="tsf"))&gt;0,1,0)</f>
        <v>0</v>
      </c>
      <c r="S147">
        <f>IF(SUMPRODUCT(('alle Dateien'!B:B=Bohrungen!B147)*('alle Dateien'!D:D="sch"))&gt;0,1,0)</f>
        <v>0</v>
      </c>
      <c r="U147" t="str">
        <f t="shared" si="4"/>
        <v>10000000000000000</v>
      </c>
      <c r="V147" t="str">
        <f>VLOOKUP(U147,Kategorie!B:C,2,FALSE)</f>
        <v>pdf</v>
      </c>
    </row>
    <row r="148" spans="1:22" x14ac:dyDescent="0.25">
      <c r="A148">
        <v>147</v>
      </c>
      <c r="B148" t="s">
        <v>2233</v>
      </c>
      <c r="C148" s="2">
        <f>IF(SUMPRODUCT(('alle Dateien'!B:B=Bohrungen!B148)*('alle Dateien'!D:D="pdf"))&gt;0,1,0)</f>
        <v>0</v>
      </c>
      <c r="D148">
        <f>IF(SUMPRODUCT(('alle Dateien'!B:B=Bohrungen!B148)*('alle Dateien'!D:D="tif"))&gt;0,1,0)</f>
        <v>0</v>
      </c>
      <c r="E148">
        <f>IF(SUMPRODUCT(('alle Dateien'!B:B=Bohrungen!B148)*('alle Dateien'!D:D="sdg"))&gt;0,1,0)</f>
        <v>1</v>
      </c>
      <c r="F148">
        <f>IF(SUMPRODUCT(('alle Dateien'!B:B=Bohrungen!B148)*('alle Dateien'!D:D="xlsx"))&gt;0,1,0)</f>
        <v>1</v>
      </c>
      <c r="G148">
        <f>IF(SUMPRODUCT(('alle Dateien'!B:B=Bohrungen!B148)*('alle Dateien'!D:D="docx"))&gt;0,1,0)</f>
        <v>0</v>
      </c>
      <c r="H148">
        <f>IF(SUMPRODUCT(('alle Dateien'!B:B=Bohrungen!B148)*('alle Dateien'!D:D="las"))&gt;0,1,0)</f>
        <v>1</v>
      </c>
      <c r="I148">
        <f>IF(SUMPRODUCT(('alle Dateien'!B:B=Bohrungen!B148)*('alle Dateien'!D:D="db"))&gt;0,1,0)</f>
        <v>0</v>
      </c>
      <c r="J148">
        <f>IF(SUMPRODUCT(('alle Dateien'!B:B=Bohrungen!B148)*('alle Dateien'!D:D="rhistory"))&gt;0,1,0)</f>
        <v>0</v>
      </c>
      <c r="K148">
        <f>IF(SUMPRODUCT(('alle Dateien'!B:B=Bohrungen!B148)*('alle Dateien'!D:D="mdb"))&gt;0,1,0)</f>
        <v>0</v>
      </c>
      <c r="L148">
        <f>IF(SUMPRODUCT(('alle Dateien'!B:B=Bohrungen!B148)*('alle Dateien'!D:D="xml"))&gt;0,1,0)</f>
        <v>0</v>
      </c>
      <c r="M148">
        <f>IF(SUMPRODUCT(('alle Dateien'!B:B=Bohrungen!B148)*('alle Dateien'!D:D="jpg"))&gt;0,1,0)</f>
        <v>0</v>
      </c>
      <c r="N148">
        <f>IF(SUMPRODUCT(('alle Dateien'!B:B=Bohrungen!B148)*('alle Dateien'!D:D="png"))&gt;0,1,0)</f>
        <v>0</v>
      </c>
      <c r="O148">
        <f>IF(SUMPRODUCT(('alle Dateien'!B:B=Bohrungen!B148)*('alle Dateien'!D:D="xls"))&gt;0,1,0)</f>
        <v>0</v>
      </c>
      <c r="P148">
        <f>IF(SUMPRODUCT(('alle Dateien'!B:B=Bohrungen!B148)*('alle Dateien'!D:D="txt"))&gt;0,1,0)</f>
        <v>0</v>
      </c>
      <c r="Q148">
        <f>IF(SUMPRODUCT(('alle Dateien'!B:B=Bohrungen!B148)*('alle Dateien'!D:D="ZIP oder R"))&gt;0,1,0)</f>
        <v>0</v>
      </c>
      <c r="R148">
        <f>IF(SUMPRODUCT(('alle Dateien'!B:B=Bohrungen!B148)*('alle Dateien'!D:D="tsf"))&gt;0,1,0)</f>
        <v>0</v>
      </c>
      <c r="S148">
        <f>IF(SUMPRODUCT(('alle Dateien'!B:B=Bohrungen!B148)*('alle Dateien'!D:D="sch"))&gt;0,1,0)</f>
        <v>0</v>
      </c>
      <c r="U148" t="str">
        <f t="shared" si="4"/>
        <v>00110100000000000</v>
      </c>
      <c r="V148" t="str">
        <f>VLOOKUP(U148,Kategorie!B:C,2,FALSE)</f>
        <v>sdg/ xlsx/ las</v>
      </c>
    </row>
    <row r="149" spans="1:22" x14ac:dyDescent="0.25">
      <c r="A149">
        <v>148</v>
      </c>
      <c r="B149" t="s">
        <v>2234</v>
      </c>
      <c r="C149" s="2">
        <f>IF(SUMPRODUCT(('alle Dateien'!B:B=Bohrungen!B149)*('alle Dateien'!D:D="pdf"))&gt;0,1,0)</f>
        <v>1</v>
      </c>
      <c r="D149">
        <f>IF(SUMPRODUCT(('alle Dateien'!B:B=Bohrungen!B149)*('alle Dateien'!D:D="tif"))&gt;0,1,0)</f>
        <v>0</v>
      </c>
      <c r="E149">
        <f>IF(SUMPRODUCT(('alle Dateien'!B:B=Bohrungen!B149)*('alle Dateien'!D:D="sdg"))&gt;0,1,0)</f>
        <v>0</v>
      </c>
      <c r="F149">
        <f>IF(SUMPRODUCT(('alle Dateien'!B:B=Bohrungen!B149)*('alle Dateien'!D:D="xlsx"))&gt;0,1,0)</f>
        <v>0</v>
      </c>
      <c r="G149">
        <f>IF(SUMPRODUCT(('alle Dateien'!B:B=Bohrungen!B149)*('alle Dateien'!D:D="docx"))&gt;0,1,0)</f>
        <v>0</v>
      </c>
      <c r="H149">
        <f>IF(SUMPRODUCT(('alle Dateien'!B:B=Bohrungen!B149)*('alle Dateien'!D:D="las"))&gt;0,1,0)</f>
        <v>0</v>
      </c>
      <c r="I149">
        <f>IF(SUMPRODUCT(('alle Dateien'!B:B=Bohrungen!B149)*('alle Dateien'!D:D="db"))&gt;0,1,0)</f>
        <v>0</v>
      </c>
      <c r="J149">
        <f>IF(SUMPRODUCT(('alle Dateien'!B:B=Bohrungen!B149)*('alle Dateien'!D:D="rhistory"))&gt;0,1,0)</f>
        <v>0</v>
      </c>
      <c r="K149">
        <f>IF(SUMPRODUCT(('alle Dateien'!B:B=Bohrungen!B149)*('alle Dateien'!D:D="mdb"))&gt;0,1,0)</f>
        <v>0</v>
      </c>
      <c r="L149">
        <f>IF(SUMPRODUCT(('alle Dateien'!B:B=Bohrungen!B149)*('alle Dateien'!D:D="xml"))&gt;0,1,0)</f>
        <v>0</v>
      </c>
      <c r="M149">
        <f>IF(SUMPRODUCT(('alle Dateien'!B:B=Bohrungen!B149)*('alle Dateien'!D:D="jpg"))&gt;0,1,0)</f>
        <v>0</v>
      </c>
      <c r="N149">
        <f>IF(SUMPRODUCT(('alle Dateien'!B:B=Bohrungen!B149)*('alle Dateien'!D:D="png"))&gt;0,1,0)</f>
        <v>0</v>
      </c>
      <c r="O149">
        <f>IF(SUMPRODUCT(('alle Dateien'!B:B=Bohrungen!B149)*('alle Dateien'!D:D="xls"))&gt;0,1,0)</f>
        <v>0</v>
      </c>
      <c r="P149">
        <f>IF(SUMPRODUCT(('alle Dateien'!B:B=Bohrungen!B149)*('alle Dateien'!D:D="txt"))&gt;0,1,0)</f>
        <v>0</v>
      </c>
      <c r="Q149">
        <f>IF(SUMPRODUCT(('alle Dateien'!B:B=Bohrungen!B149)*('alle Dateien'!D:D="ZIP oder R"))&gt;0,1,0)</f>
        <v>0</v>
      </c>
      <c r="R149">
        <f>IF(SUMPRODUCT(('alle Dateien'!B:B=Bohrungen!B149)*('alle Dateien'!D:D="tsf"))&gt;0,1,0)</f>
        <v>0</v>
      </c>
      <c r="S149">
        <f>IF(SUMPRODUCT(('alle Dateien'!B:B=Bohrungen!B149)*('alle Dateien'!D:D="sch"))&gt;0,1,0)</f>
        <v>0</v>
      </c>
      <c r="U149" t="str">
        <f t="shared" si="4"/>
        <v>10000000000000000</v>
      </c>
      <c r="V149" t="str">
        <f>VLOOKUP(U149,Kategorie!B:C,2,FALSE)</f>
        <v>pdf</v>
      </c>
    </row>
    <row r="150" spans="1:22" x14ac:dyDescent="0.25">
      <c r="A150">
        <v>149</v>
      </c>
      <c r="B150" t="s">
        <v>2235</v>
      </c>
      <c r="C150" s="2">
        <f>IF(SUMPRODUCT(('alle Dateien'!B:B=Bohrungen!B150)*('alle Dateien'!D:D="pdf"))&gt;0,1,0)</f>
        <v>1</v>
      </c>
      <c r="D150">
        <f>IF(SUMPRODUCT(('alle Dateien'!B:B=Bohrungen!B150)*('alle Dateien'!D:D="tif"))&gt;0,1,0)</f>
        <v>0</v>
      </c>
      <c r="E150">
        <f>IF(SUMPRODUCT(('alle Dateien'!B:B=Bohrungen!B150)*('alle Dateien'!D:D="sdg"))&gt;0,1,0)</f>
        <v>0</v>
      </c>
      <c r="F150">
        <f>IF(SUMPRODUCT(('alle Dateien'!B:B=Bohrungen!B150)*('alle Dateien'!D:D="xlsx"))&gt;0,1,0)</f>
        <v>0</v>
      </c>
      <c r="G150">
        <f>IF(SUMPRODUCT(('alle Dateien'!B:B=Bohrungen!B150)*('alle Dateien'!D:D="docx"))&gt;0,1,0)</f>
        <v>0</v>
      </c>
      <c r="H150">
        <f>IF(SUMPRODUCT(('alle Dateien'!B:B=Bohrungen!B150)*('alle Dateien'!D:D="las"))&gt;0,1,0)</f>
        <v>0</v>
      </c>
      <c r="I150">
        <f>IF(SUMPRODUCT(('alle Dateien'!B:B=Bohrungen!B150)*('alle Dateien'!D:D="db"))&gt;0,1,0)</f>
        <v>0</v>
      </c>
      <c r="J150">
        <f>IF(SUMPRODUCT(('alle Dateien'!B:B=Bohrungen!B150)*('alle Dateien'!D:D="rhistory"))&gt;0,1,0)</f>
        <v>0</v>
      </c>
      <c r="K150">
        <f>IF(SUMPRODUCT(('alle Dateien'!B:B=Bohrungen!B150)*('alle Dateien'!D:D="mdb"))&gt;0,1,0)</f>
        <v>0</v>
      </c>
      <c r="L150">
        <f>IF(SUMPRODUCT(('alle Dateien'!B:B=Bohrungen!B150)*('alle Dateien'!D:D="xml"))&gt;0,1,0)</f>
        <v>0</v>
      </c>
      <c r="M150">
        <f>IF(SUMPRODUCT(('alle Dateien'!B:B=Bohrungen!B150)*('alle Dateien'!D:D="jpg"))&gt;0,1,0)</f>
        <v>0</v>
      </c>
      <c r="N150">
        <f>IF(SUMPRODUCT(('alle Dateien'!B:B=Bohrungen!B150)*('alle Dateien'!D:D="png"))&gt;0,1,0)</f>
        <v>0</v>
      </c>
      <c r="O150">
        <f>IF(SUMPRODUCT(('alle Dateien'!B:B=Bohrungen!B150)*('alle Dateien'!D:D="xls"))&gt;0,1,0)</f>
        <v>0</v>
      </c>
      <c r="P150">
        <f>IF(SUMPRODUCT(('alle Dateien'!B:B=Bohrungen!B150)*('alle Dateien'!D:D="txt"))&gt;0,1,0)</f>
        <v>0</v>
      </c>
      <c r="Q150">
        <f>IF(SUMPRODUCT(('alle Dateien'!B:B=Bohrungen!B150)*('alle Dateien'!D:D="ZIP oder R"))&gt;0,1,0)</f>
        <v>0</v>
      </c>
      <c r="R150">
        <f>IF(SUMPRODUCT(('alle Dateien'!B:B=Bohrungen!B150)*('alle Dateien'!D:D="tsf"))&gt;0,1,0)</f>
        <v>0</v>
      </c>
      <c r="S150">
        <f>IF(SUMPRODUCT(('alle Dateien'!B:B=Bohrungen!B150)*('alle Dateien'!D:D="sch"))&gt;0,1,0)</f>
        <v>0</v>
      </c>
      <c r="U150" t="str">
        <f t="shared" si="4"/>
        <v>10000000000000000</v>
      </c>
      <c r="V150" t="str">
        <f>VLOOKUP(U150,Kategorie!B:C,2,FALSE)</f>
        <v>pdf</v>
      </c>
    </row>
    <row r="151" spans="1:22" x14ac:dyDescent="0.25">
      <c r="A151">
        <v>150</v>
      </c>
      <c r="B151" t="s">
        <v>2236</v>
      </c>
      <c r="C151" s="2">
        <f>IF(SUMPRODUCT(('alle Dateien'!B:B=Bohrungen!B151)*('alle Dateien'!D:D="pdf"))&gt;0,1,0)</f>
        <v>1</v>
      </c>
      <c r="D151">
        <f>IF(SUMPRODUCT(('alle Dateien'!B:B=Bohrungen!B151)*('alle Dateien'!D:D="tif"))&gt;0,1,0)</f>
        <v>0</v>
      </c>
      <c r="E151">
        <f>IF(SUMPRODUCT(('alle Dateien'!B:B=Bohrungen!B151)*('alle Dateien'!D:D="sdg"))&gt;0,1,0)</f>
        <v>1</v>
      </c>
      <c r="F151">
        <f>IF(SUMPRODUCT(('alle Dateien'!B:B=Bohrungen!B151)*('alle Dateien'!D:D="xlsx"))&gt;0,1,0)</f>
        <v>1</v>
      </c>
      <c r="G151">
        <f>IF(SUMPRODUCT(('alle Dateien'!B:B=Bohrungen!B151)*('alle Dateien'!D:D="docx"))&gt;0,1,0)</f>
        <v>0</v>
      </c>
      <c r="H151">
        <f>IF(SUMPRODUCT(('alle Dateien'!B:B=Bohrungen!B151)*('alle Dateien'!D:D="las"))&gt;0,1,0)</f>
        <v>1</v>
      </c>
      <c r="I151">
        <f>IF(SUMPRODUCT(('alle Dateien'!B:B=Bohrungen!B151)*('alle Dateien'!D:D="db"))&gt;0,1,0)</f>
        <v>0</v>
      </c>
      <c r="J151">
        <f>IF(SUMPRODUCT(('alle Dateien'!B:B=Bohrungen!B151)*('alle Dateien'!D:D="rhistory"))&gt;0,1,0)</f>
        <v>0</v>
      </c>
      <c r="K151">
        <f>IF(SUMPRODUCT(('alle Dateien'!B:B=Bohrungen!B151)*('alle Dateien'!D:D="mdb"))&gt;0,1,0)</f>
        <v>0</v>
      </c>
      <c r="L151">
        <f>IF(SUMPRODUCT(('alle Dateien'!B:B=Bohrungen!B151)*('alle Dateien'!D:D="xml"))&gt;0,1,0)</f>
        <v>0</v>
      </c>
      <c r="M151">
        <f>IF(SUMPRODUCT(('alle Dateien'!B:B=Bohrungen!B151)*('alle Dateien'!D:D="jpg"))&gt;0,1,0)</f>
        <v>0</v>
      </c>
      <c r="N151">
        <f>IF(SUMPRODUCT(('alle Dateien'!B:B=Bohrungen!B151)*('alle Dateien'!D:D="png"))&gt;0,1,0)</f>
        <v>0</v>
      </c>
      <c r="O151">
        <f>IF(SUMPRODUCT(('alle Dateien'!B:B=Bohrungen!B151)*('alle Dateien'!D:D="xls"))&gt;0,1,0)</f>
        <v>0</v>
      </c>
      <c r="P151">
        <f>IF(SUMPRODUCT(('alle Dateien'!B:B=Bohrungen!B151)*('alle Dateien'!D:D="txt"))&gt;0,1,0)</f>
        <v>0</v>
      </c>
      <c r="Q151">
        <f>IF(SUMPRODUCT(('alle Dateien'!B:B=Bohrungen!B151)*('alle Dateien'!D:D="ZIP oder R"))&gt;0,1,0)</f>
        <v>0</v>
      </c>
      <c r="R151">
        <f>IF(SUMPRODUCT(('alle Dateien'!B:B=Bohrungen!B151)*('alle Dateien'!D:D="tsf"))&gt;0,1,0)</f>
        <v>0</v>
      </c>
      <c r="S151">
        <f>IF(SUMPRODUCT(('alle Dateien'!B:B=Bohrungen!B151)*('alle Dateien'!D:D="sch"))&gt;0,1,0)</f>
        <v>0</v>
      </c>
      <c r="U151" t="str">
        <f t="shared" si="4"/>
        <v>10110100000000000</v>
      </c>
      <c r="V151" t="str">
        <f>VLOOKUP(U151,Kategorie!B:C,2,FALSE)</f>
        <v>pdf/ sdg/ xlsx/ las</v>
      </c>
    </row>
    <row r="152" spans="1:22" x14ac:dyDescent="0.25">
      <c r="A152">
        <v>151</v>
      </c>
      <c r="B152" t="s">
        <v>2237</v>
      </c>
      <c r="C152" s="2">
        <f>IF(SUMPRODUCT(('alle Dateien'!B:B=Bohrungen!B152)*('alle Dateien'!D:D="pdf"))&gt;0,1,0)</f>
        <v>0</v>
      </c>
      <c r="D152">
        <f>IF(SUMPRODUCT(('alle Dateien'!B:B=Bohrungen!B152)*('alle Dateien'!D:D="tif"))&gt;0,1,0)</f>
        <v>0</v>
      </c>
      <c r="E152">
        <f>IF(SUMPRODUCT(('alle Dateien'!B:B=Bohrungen!B152)*('alle Dateien'!D:D="sdg"))&gt;0,1,0)</f>
        <v>1</v>
      </c>
      <c r="F152">
        <f>IF(SUMPRODUCT(('alle Dateien'!B:B=Bohrungen!B152)*('alle Dateien'!D:D="xlsx"))&gt;0,1,0)</f>
        <v>1</v>
      </c>
      <c r="G152">
        <f>IF(SUMPRODUCT(('alle Dateien'!B:B=Bohrungen!B152)*('alle Dateien'!D:D="docx"))&gt;0,1,0)</f>
        <v>0</v>
      </c>
      <c r="H152">
        <f>IF(SUMPRODUCT(('alle Dateien'!B:B=Bohrungen!B152)*('alle Dateien'!D:D="las"))&gt;0,1,0)</f>
        <v>1</v>
      </c>
      <c r="I152">
        <f>IF(SUMPRODUCT(('alle Dateien'!B:B=Bohrungen!B152)*('alle Dateien'!D:D="db"))&gt;0,1,0)</f>
        <v>0</v>
      </c>
      <c r="J152">
        <f>IF(SUMPRODUCT(('alle Dateien'!B:B=Bohrungen!B152)*('alle Dateien'!D:D="rhistory"))&gt;0,1,0)</f>
        <v>0</v>
      </c>
      <c r="K152">
        <f>IF(SUMPRODUCT(('alle Dateien'!B:B=Bohrungen!B152)*('alle Dateien'!D:D="mdb"))&gt;0,1,0)</f>
        <v>0</v>
      </c>
      <c r="L152">
        <f>IF(SUMPRODUCT(('alle Dateien'!B:B=Bohrungen!B152)*('alle Dateien'!D:D="xml"))&gt;0,1,0)</f>
        <v>0</v>
      </c>
      <c r="M152">
        <f>IF(SUMPRODUCT(('alle Dateien'!B:B=Bohrungen!B152)*('alle Dateien'!D:D="jpg"))&gt;0,1,0)</f>
        <v>0</v>
      </c>
      <c r="N152">
        <f>IF(SUMPRODUCT(('alle Dateien'!B:B=Bohrungen!B152)*('alle Dateien'!D:D="png"))&gt;0,1,0)</f>
        <v>0</v>
      </c>
      <c r="O152">
        <f>IF(SUMPRODUCT(('alle Dateien'!B:B=Bohrungen!B152)*('alle Dateien'!D:D="xls"))&gt;0,1,0)</f>
        <v>0</v>
      </c>
      <c r="P152">
        <f>IF(SUMPRODUCT(('alle Dateien'!B:B=Bohrungen!B152)*('alle Dateien'!D:D="txt"))&gt;0,1,0)</f>
        <v>0</v>
      </c>
      <c r="Q152">
        <f>IF(SUMPRODUCT(('alle Dateien'!B:B=Bohrungen!B152)*('alle Dateien'!D:D="ZIP oder R"))&gt;0,1,0)</f>
        <v>0</v>
      </c>
      <c r="R152">
        <f>IF(SUMPRODUCT(('alle Dateien'!B:B=Bohrungen!B152)*('alle Dateien'!D:D="tsf"))&gt;0,1,0)</f>
        <v>0</v>
      </c>
      <c r="S152">
        <f>IF(SUMPRODUCT(('alle Dateien'!B:B=Bohrungen!B152)*('alle Dateien'!D:D="sch"))&gt;0,1,0)</f>
        <v>0</v>
      </c>
      <c r="U152" t="str">
        <f t="shared" si="4"/>
        <v>00110100000000000</v>
      </c>
      <c r="V152" t="str">
        <f>VLOOKUP(U152,Kategorie!B:C,2,FALSE)</f>
        <v>sdg/ xlsx/ las</v>
      </c>
    </row>
    <row r="153" spans="1:22" x14ac:dyDescent="0.25">
      <c r="A153">
        <v>152</v>
      </c>
      <c r="B153" t="s">
        <v>2238</v>
      </c>
      <c r="C153" s="2">
        <f>IF(SUMPRODUCT(('alle Dateien'!B:B=Bohrungen!B153)*('alle Dateien'!D:D="pdf"))&gt;0,1,0)</f>
        <v>1</v>
      </c>
      <c r="D153">
        <f>IF(SUMPRODUCT(('alle Dateien'!B:B=Bohrungen!B153)*('alle Dateien'!D:D="tif"))&gt;0,1,0)</f>
        <v>0</v>
      </c>
      <c r="E153">
        <f>IF(SUMPRODUCT(('alle Dateien'!B:B=Bohrungen!B153)*('alle Dateien'!D:D="sdg"))&gt;0,1,0)</f>
        <v>0</v>
      </c>
      <c r="F153">
        <f>IF(SUMPRODUCT(('alle Dateien'!B:B=Bohrungen!B153)*('alle Dateien'!D:D="xlsx"))&gt;0,1,0)</f>
        <v>0</v>
      </c>
      <c r="G153">
        <f>IF(SUMPRODUCT(('alle Dateien'!B:B=Bohrungen!B153)*('alle Dateien'!D:D="docx"))&gt;0,1,0)</f>
        <v>0</v>
      </c>
      <c r="H153">
        <f>IF(SUMPRODUCT(('alle Dateien'!B:B=Bohrungen!B153)*('alle Dateien'!D:D="las"))&gt;0,1,0)</f>
        <v>0</v>
      </c>
      <c r="I153">
        <f>IF(SUMPRODUCT(('alle Dateien'!B:B=Bohrungen!B153)*('alle Dateien'!D:D="db"))&gt;0,1,0)</f>
        <v>0</v>
      </c>
      <c r="J153">
        <f>IF(SUMPRODUCT(('alle Dateien'!B:B=Bohrungen!B153)*('alle Dateien'!D:D="rhistory"))&gt;0,1,0)</f>
        <v>0</v>
      </c>
      <c r="K153">
        <f>IF(SUMPRODUCT(('alle Dateien'!B:B=Bohrungen!B153)*('alle Dateien'!D:D="mdb"))&gt;0,1,0)</f>
        <v>0</v>
      </c>
      <c r="L153">
        <f>IF(SUMPRODUCT(('alle Dateien'!B:B=Bohrungen!B153)*('alle Dateien'!D:D="xml"))&gt;0,1,0)</f>
        <v>0</v>
      </c>
      <c r="M153">
        <f>IF(SUMPRODUCT(('alle Dateien'!B:B=Bohrungen!B153)*('alle Dateien'!D:D="jpg"))&gt;0,1,0)</f>
        <v>1</v>
      </c>
      <c r="N153">
        <f>IF(SUMPRODUCT(('alle Dateien'!B:B=Bohrungen!B153)*('alle Dateien'!D:D="png"))&gt;0,1,0)</f>
        <v>0</v>
      </c>
      <c r="O153">
        <f>IF(SUMPRODUCT(('alle Dateien'!B:B=Bohrungen!B153)*('alle Dateien'!D:D="xls"))&gt;0,1,0)</f>
        <v>0</v>
      </c>
      <c r="P153">
        <f>IF(SUMPRODUCT(('alle Dateien'!B:B=Bohrungen!B153)*('alle Dateien'!D:D="txt"))&gt;0,1,0)</f>
        <v>0</v>
      </c>
      <c r="Q153">
        <f>IF(SUMPRODUCT(('alle Dateien'!B:B=Bohrungen!B153)*('alle Dateien'!D:D="ZIP oder R"))&gt;0,1,0)</f>
        <v>0</v>
      </c>
      <c r="R153">
        <f>IF(SUMPRODUCT(('alle Dateien'!B:B=Bohrungen!B153)*('alle Dateien'!D:D="tsf"))&gt;0,1,0)</f>
        <v>0</v>
      </c>
      <c r="S153">
        <f>IF(SUMPRODUCT(('alle Dateien'!B:B=Bohrungen!B153)*('alle Dateien'!D:D="sch"))&gt;0,1,0)</f>
        <v>0</v>
      </c>
      <c r="U153" t="str">
        <f t="shared" si="4"/>
        <v>10000000001000000</v>
      </c>
      <c r="V153" t="str">
        <f>VLOOKUP(U153,Kategorie!B:C,2,FALSE)</f>
        <v>pdf/ jpg</v>
      </c>
    </row>
    <row r="154" spans="1:22" x14ac:dyDescent="0.25">
      <c r="A154">
        <v>153</v>
      </c>
      <c r="B154" t="s">
        <v>2239</v>
      </c>
      <c r="C154" s="2">
        <f>IF(SUMPRODUCT(('alle Dateien'!B:B=Bohrungen!B154)*('alle Dateien'!D:D="pdf"))&gt;0,1,0)</f>
        <v>1</v>
      </c>
      <c r="D154">
        <f>IF(SUMPRODUCT(('alle Dateien'!B:B=Bohrungen!B154)*('alle Dateien'!D:D="tif"))&gt;0,1,0)</f>
        <v>0</v>
      </c>
      <c r="E154">
        <f>IF(SUMPRODUCT(('alle Dateien'!B:B=Bohrungen!B154)*('alle Dateien'!D:D="sdg"))&gt;0,1,0)</f>
        <v>0</v>
      </c>
      <c r="F154">
        <f>IF(SUMPRODUCT(('alle Dateien'!B:B=Bohrungen!B154)*('alle Dateien'!D:D="xlsx"))&gt;0,1,0)</f>
        <v>0</v>
      </c>
      <c r="G154">
        <f>IF(SUMPRODUCT(('alle Dateien'!B:B=Bohrungen!B154)*('alle Dateien'!D:D="docx"))&gt;0,1,0)</f>
        <v>0</v>
      </c>
      <c r="H154">
        <f>IF(SUMPRODUCT(('alle Dateien'!B:B=Bohrungen!B154)*('alle Dateien'!D:D="las"))&gt;0,1,0)</f>
        <v>0</v>
      </c>
      <c r="I154">
        <f>IF(SUMPRODUCT(('alle Dateien'!B:B=Bohrungen!B154)*('alle Dateien'!D:D="db"))&gt;0,1,0)</f>
        <v>0</v>
      </c>
      <c r="J154">
        <f>IF(SUMPRODUCT(('alle Dateien'!B:B=Bohrungen!B154)*('alle Dateien'!D:D="rhistory"))&gt;0,1,0)</f>
        <v>0</v>
      </c>
      <c r="K154">
        <f>IF(SUMPRODUCT(('alle Dateien'!B:B=Bohrungen!B154)*('alle Dateien'!D:D="mdb"))&gt;0,1,0)</f>
        <v>0</v>
      </c>
      <c r="L154">
        <f>IF(SUMPRODUCT(('alle Dateien'!B:B=Bohrungen!B154)*('alle Dateien'!D:D="xml"))&gt;0,1,0)</f>
        <v>0</v>
      </c>
      <c r="M154">
        <f>IF(SUMPRODUCT(('alle Dateien'!B:B=Bohrungen!B154)*('alle Dateien'!D:D="jpg"))&gt;0,1,0)</f>
        <v>1</v>
      </c>
      <c r="N154">
        <f>IF(SUMPRODUCT(('alle Dateien'!B:B=Bohrungen!B154)*('alle Dateien'!D:D="png"))&gt;0,1,0)</f>
        <v>0</v>
      </c>
      <c r="O154">
        <f>IF(SUMPRODUCT(('alle Dateien'!B:B=Bohrungen!B154)*('alle Dateien'!D:D="xls"))&gt;0,1,0)</f>
        <v>0</v>
      </c>
      <c r="P154">
        <f>IF(SUMPRODUCT(('alle Dateien'!B:B=Bohrungen!B154)*('alle Dateien'!D:D="txt"))&gt;0,1,0)</f>
        <v>0</v>
      </c>
      <c r="Q154">
        <f>IF(SUMPRODUCT(('alle Dateien'!B:B=Bohrungen!B154)*('alle Dateien'!D:D="ZIP oder R"))&gt;0,1,0)</f>
        <v>0</v>
      </c>
      <c r="R154">
        <f>IF(SUMPRODUCT(('alle Dateien'!B:B=Bohrungen!B154)*('alle Dateien'!D:D="tsf"))&gt;0,1,0)</f>
        <v>0</v>
      </c>
      <c r="S154">
        <f>IF(SUMPRODUCT(('alle Dateien'!B:B=Bohrungen!B154)*('alle Dateien'!D:D="sch"))&gt;0,1,0)</f>
        <v>0</v>
      </c>
      <c r="U154" t="str">
        <f t="shared" si="4"/>
        <v>10000000001000000</v>
      </c>
      <c r="V154" t="str">
        <f>VLOOKUP(U154,Kategorie!B:C,2,FALSE)</f>
        <v>pdf/ jpg</v>
      </c>
    </row>
    <row r="155" spans="1:22" x14ac:dyDescent="0.25">
      <c r="A155">
        <v>154</v>
      </c>
      <c r="B155" t="s">
        <v>2240</v>
      </c>
      <c r="C155" s="2">
        <f>IF(SUMPRODUCT(('alle Dateien'!B:B=Bohrungen!B155)*('alle Dateien'!D:D="pdf"))&gt;0,1,0)</f>
        <v>1</v>
      </c>
      <c r="D155">
        <f>IF(SUMPRODUCT(('alle Dateien'!B:B=Bohrungen!B155)*('alle Dateien'!D:D="tif"))&gt;0,1,0)</f>
        <v>0</v>
      </c>
      <c r="E155">
        <f>IF(SUMPRODUCT(('alle Dateien'!B:B=Bohrungen!B155)*('alle Dateien'!D:D="sdg"))&gt;0,1,0)</f>
        <v>1</v>
      </c>
      <c r="F155">
        <f>IF(SUMPRODUCT(('alle Dateien'!B:B=Bohrungen!B155)*('alle Dateien'!D:D="xlsx"))&gt;0,1,0)</f>
        <v>1</v>
      </c>
      <c r="G155">
        <f>IF(SUMPRODUCT(('alle Dateien'!B:B=Bohrungen!B155)*('alle Dateien'!D:D="docx"))&gt;0,1,0)</f>
        <v>0</v>
      </c>
      <c r="H155">
        <f>IF(SUMPRODUCT(('alle Dateien'!B:B=Bohrungen!B155)*('alle Dateien'!D:D="las"))&gt;0,1,0)</f>
        <v>1</v>
      </c>
      <c r="I155">
        <f>IF(SUMPRODUCT(('alle Dateien'!B:B=Bohrungen!B155)*('alle Dateien'!D:D="db"))&gt;0,1,0)</f>
        <v>0</v>
      </c>
      <c r="J155">
        <f>IF(SUMPRODUCT(('alle Dateien'!B:B=Bohrungen!B155)*('alle Dateien'!D:D="rhistory"))&gt;0,1,0)</f>
        <v>0</v>
      </c>
      <c r="K155">
        <f>IF(SUMPRODUCT(('alle Dateien'!B:B=Bohrungen!B155)*('alle Dateien'!D:D="mdb"))&gt;0,1,0)</f>
        <v>0</v>
      </c>
      <c r="L155">
        <f>IF(SUMPRODUCT(('alle Dateien'!B:B=Bohrungen!B155)*('alle Dateien'!D:D="xml"))&gt;0,1,0)</f>
        <v>0</v>
      </c>
      <c r="M155">
        <f>IF(SUMPRODUCT(('alle Dateien'!B:B=Bohrungen!B155)*('alle Dateien'!D:D="jpg"))&gt;0,1,0)</f>
        <v>0</v>
      </c>
      <c r="N155">
        <f>IF(SUMPRODUCT(('alle Dateien'!B:B=Bohrungen!B155)*('alle Dateien'!D:D="png"))&gt;0,1,0)</f>
        <v>0</v>
      </c>
      <c r="O155">
        <f>IF(SUMPRODUCT(('alle Dateien'!B:B=Bohrungen!B155)*('alle Dateien'!D:D="xls"))&gt;0,1,0)</f>
        <v>0</v>
      </c>
      <c r="P155">
        <f>IF(SUMPRODUCT(('alle Dateien'!B:B=Bohrungen!B155)*('alle Dateien'!D:D="txt"))&gt;0,1,0)</f>
        <v>0</v>
      </c>
      <c r="Q155">
        <f>IF(SUMPRODUCT(('alle Dateien'!B:B=Bohrungen!B155)*('alle Dateien'!D:D="ZIP oder R"))&gt;0,1,0)</f>
        <v>0</v>
      </c>
      <c r="R155">
        <f>IF(SUMPRODUCT(('alle Dateien'!B:B=Bohrungen!B155)*('alle Dateien'!D:D="tsf"))&gt;0,1,0)</f>
        <v>0</v>
      </c>
      <c r="S155">
        <f>IF(SUMPRODUCT(('alle Dateien'!B:B=Bohrungen!B155)*('alle Dateien'!D:D="sch"))&gt;0,1,0)</f>
        <v>0</v>
      </c>
      <c r="U155" t="str">
        <f t="shared" si="4"/>
        <v>10110100000000000</v>
      </c>
      <c r="V155" t="str">
        <f>VLOOKUP(U155,Kategorie!B:C,2,FALSE)</f>
        <v>pdf/ sdg/ xlsx/ las</v>
      </c>
    </row>
    <row r="156" spans="1:22" x14ac:dyDescent="0.25">
      <c r="A156">
        <v>155</v>
      </c>
      <c r="B156" t="s">
        <v>2291</v>
      </c>
      <c r="C156" s="2">
        <f>IF(SUMPRODUCT(('alle Dateien'!B:B=Bohrungen!B156)*('alle Dateien'!D:D="pdf"))&gt;0,1,0)</f>
        <v>1</v>
      </c>
      <c r="D156">
        <f>IF(SUMPRODUCT(('alle Dateien'!B:B=Bohrungen!B156)*('alle Dateien'!D:D="tif"))&gt;0,1,0)</f>
        <v>0</v>
      </c>
      <c r="E156">
        <f>IF(SUMPRODUCT(('alle Dateien'!B:B=Bohrungen!B156)*('alle Dateien'!D:D="sdg"))&gt;0,1,0)</f>
        <v>1</v>
      </c>
      <c r="F156">
        <f>IF(SUMPRODUCT(('alle Dateien'!B:B=Bohrungen!B156)*('alle Dateien'!D:D="xlsx"))&gt;0,1,0)</f>
        <v>1</v>
      </c>
      <c r="G156">
        <f>IF(SUMPRODUCT(('alle Dateien'!B:B=Bohrungen!B156)*('alle Dateien'!D:D="docx"))&gt;0,1,0)</f>
        <v>0</v>
      </c>
      <c r="H156">
        <f>IF(SUMPRODUCT(('alle Dateien'!B:B=Bohrungen!B156)*('alle Dateien'!D:D="las"))&gt;0,1,0)</f>
        <v>1</v>
      </c>
      <c r="I156">
        <f>IF(SUMPRODUCT(('alle Dateien'!B:B=Bohrungen!B156)*('alle Dateien'!D:D="db"))&gt;0,1,0)</f>
        <v>0</v>
      </c>
      <c r="J156">
        <f>IF(SUMPRODUCT(('alle Dateien'!B:B=Bohrungen!B156)*('alle Dateien'!D:D="rhistory"))&gt;0,1,0)</f>
        <v>1</v>
      </c>
      <c r="K156">
        <f>IF(SUMPRODUCT(('alle Dateien'!B:B=Bohrungen!B156)*('alle Dateien'!D:D="mdb"))&gt;0,1,0)</f>
        <v>0</v>
      </c>
      <c r="L156">
        <f>IF(SUMPRODUCT(('alle Dateien'!B:B=Bohrungen!B156)*('alle Dateien'!D:D="xml"))&gt;0,1,0)</f>
        <v>1</v>
      </c>
      <c r="M156">
        <f>IF(SUMPRODUCT(('alle Dateien'!B:B=Bohrungen!B156)*('alle Dateien'!D:D="jpg"))&gt;0,1,0)</f>
        <v>0</v>
      </c>
      <c r="N156">
        <f>IF(SUMPRODUCT(('alle Dateien'!B:B=Bohrungen!B156)*('alle Dateien'!D:D="png"))&gt;0,1,0)</f>
        <v>1</v>
      </c>
      <c r="O156">
        <f>IF(SUMPRODUCT(('alle Dateien'!B:B=Bohrungen!B156)*('alle Dateien'!D:D="xls"))&gt;0,1,0)</f>
        <v>0</v>
      </c>
      <c r="P156">
        <f>IF(SUMPRODUCT(('alle Dateien'!B:B=Bohrungen!B156)*('alle Dateien'!D:D="txt"))&gt;0,1,0)</f>
        <v>1</v>
      </c>
      <c r="Q156">
        <f>IF(SUMPRODUCT(('alle Dateien'!B:B=Bohrungen!B156)*('alle Dateien'!D:D="ZIP oder R"))&gt;0,1,0)</f>
        <v>1</v>
      </c>
      <c r="R156">
        <f>IF(SUMPRODUCT(('alle Dateien'!B:B=Bohrungen!B156)*('alle Dateien'!D:D="tsf"))&gt;0,1,0)</f>
        <v>0</v>
      </c>
      <c r="S156">
        <f>IF(SUMPRODUCT(('alle Dateien'!B:B=Bohrungen!B156)*('alle Dateien'!D:D="sch"))&gt;0,1,0)</f>
        <v>0</v>
      </c>
      <c r="U156" t="str">
        <f t="shared" si="4"/>
        <v>10110101010101100</v>
      </c>
      <c r="V156" t="str">
        <f>VLOOKUP(U156,Kategorie!B:C,2,FALSE)</f>
        <v>pdf/ sdg/ xlsx/ las/ rhistory/ xml/ png/ txt/ ZIP oder R</v>
      </c>
    </row>
    <row r="157" spans="1:22" x14ac:dyDescent="0.25">
      <c r="A157">
        <v>156</v>
      </c>
      <c r="B157" t="s">
        <v>2293</v>
      </c>
      <c r="C157" s="2">
        <f>IF(SUMPRODUCT(('alle Dateien'!B:B=Bohrungen!B157)*('alle Dateien'!D:D="pdf"))&gt;0,1,0)</f>
        <v>1</v>
      </c>
      <c r="D157">
        <f>IF(SUMPRODUCT(('alle Dateien'!B:B=Bohrungen!B157)*('alle Dateien'!D:D="tif"))&gt;0,1,0)</f>
        <v>0</v>
      </c>
      <c r="E157">
        <f>IF(SUMPRODUCT(('alle Dateien'!B:B=Bohrungen!B157)*('alle Dateien'!D:D="sdg"))&gt;0,1,0)</f>
        <v>0</v>
      </c>
      <c r="F157">
        <f>IF(SUMPRODUCT(('alle Dateien'!B:B=Bohrungen!B157)*('alle Dateien'!D:D="xlsx"))&gt;0,1,0)</f>
        <v>0</v>
      </c>
      <c r="G157">
        <f>IF(SUMPRODUCT(('alle Dateien'!B:B=Bohrungen!B157)*('alle Dateien'!D:D="docx"))&gt;0,1,0)</f>
        <v>0</v>
      </c>
      <c r="H157">
        <f>IF(SUMPRODUCT(('alle Dateien'!B:B=Bohrungen!B157)*('alle Dateien'!D:D="las"))&gt;0,1,0)</f>
        <v>0</v>
      </c>
      <c r="I157">
        <f>IF(SUMPRODUCT(('alle Dateien'!B:B=Bohrungen!B157)*('alle Dateien'!D:D="db"))&gt;0,1,0)</f>
        <v>0</v>
      </c>
      <c r="J157">
        <f>IF(SUMPRODUCT(('alle Dateien'!B:B=Bohrungen!B157)*('alle Dateien'!D:D="rhistory"))&gt;0,1,0)</f>
        <v>0</v>
      </c>
      <c r="K157">
        <f>IF(SUMPRODUCT(('alle Dateien'!B:B=Bohrungen!B157)*('alle Dateien'!D:D="mdb"))&gt;0,1,0)</f>
        <v>0</v>
      </c>
      <c r="L157">
        <f>IF(SUMPRODUCT(('alle Dateien'!B:B=Bohrungen!B157)*('alle Dateien'!D:D="xml"))&gt;0,1,0)</f>
        <v>0</v>
      </c>
      <c r="M157">
        <f>IF(SUMPRODUCT(('alle Dateien'!B:B=Bohrungen!B157)*('alle Dateien'!D:D="jpg"))&gt;0,1,0)</f>
        <v>0</v>
      </c>
      <c r="N157">
        <f>IF(SUMPRODUCT(('alle Dateien'!B:B=Bohrungen!B157)*('alle Dateien'!D:D="png"))&gt;0,1,0)</f>
        <v>0</v>
      </c>
      <c r="O157">
        <f>IF(SUMPRODUCT(('alle Dateien'!B:B=Bohrungen!B157)*('alle Dateien'!D:D="xls"))&gt;0,1,0)</f>
        <v>0</v>
      </c>
      <c r="P157">
        <f>IF(SUMPRODUCT(('alle Dateien'!B:B=Bohrungen!B157)*('alle Dateien'!D:D="txt"))&gt;0,1,0)</f>
        <v>0</v>
      </c>
      <c r="Q157">
        <f>IF(SUMPRODUCT(('alle Dateien'!B:B=Bohrungen!B157)*('alle Dateien'!D:D="ZIP oder R"))&gt;0,1,0)</f>
        <v>0</v>
      </c>
      <c r="R157">
        <f>IF(SUMPRODUCT(('alle Dateien'!B:B=Bohrungen!B157)*('alle Dateien'!D:D="tsf"))&gt;0,1,0)</f>
        <v>0</v>
      </c>
      <c r="S157">
        <f>IF(SUMPRODUCT(('alle Dateien'!B:B=Bohrungen!B157)*('alle Dateien'!D:D="sch"))&gt;0,1,0)</f>
        <v>0</v>
      </c>
      <c r="U157" t="str">
        <f t="shared" si="4"/>
        <v>10000000000000000</v>
      </c>
      <c r="V157" t="str">
        <f>VLOOKUP(U157,Kategorie!B:C,2,FALSE)</f>
        <v>pdf</v>
      </c>
    </row>
    <row r="158" spans="1:22" x14ac:dyDescent="0.25">
      <c r="A158">
        <v>157</v>
      </c>
      <c r="B158" t="s">
        <v>2294</v>
      </c>
      <c r="C158" s="2">
        <f>IF(SUMPRODUCT(('alle Dateien'!B:B=Bohrungen!B158)*('alle Dateien'!D:D="pdf"))&gt;0,1,0)</f>
        <v>1</v>
      </c>
      <c r="D158">
        <f>IF(SUMPRODUCT(('alle Dateien'!B:B=Bohrungen!B158)*('alle Dateien'!D:D="tif"))&gt;0,1,0)</f>
        <v>0</v>
      </c>
      <c r="E158">
        <f>IF(SUMPRODUCT(('alle Dateien'!B:B=Bohrungen!B158)*('alle Dateien'!D:D="sdg"))&gt;0,1,0)</f>
        <v>0</v>
      </c>
      <c r="F158">
        <f>IF(SUMPRODUCT(('alle Dateien'!B:B=Bohrungen!B158)*('alle Dateien'!D:D="xlsx"))&gt;0,1,0)</f>
        <v>0</v>
      </c>
      <c r="G158">
        <f>IF(SUMPRODUCT(('alle Dateien'!B:B=Bohrungen!B158)*('alle Dateien'!D:D="docx"))&gt;0,1,0)</f>
        <v>0</v>
      </c>
      <c r="H158">
        <f>IF(SUMPRODUCT(('alle Dateien'!B:B=Bohrungen!B158)*('alle Dateien'!D:D="las"))&gt;0,1,0)</f>
        <v>0</v>
      </c>
      <c r="I158">
        <f>IF(SUMPRODUCT(('alle Dateien'!B:B=Bohrungen!B158)*('alle Dateien'!D:D="db"))&gt;0,1,0)</f>
        <v>0</v>
      </c>
      <c r="J158">
        <f>IF(SUMPRODUCT(('alle Dateien'!B:B=Bohrungen!B158)*('alle Dateien'!D:D="rhistory"))&gt;0,1,0)</f>
        <v>0</v>
      </c>
      <c r="K158">
        <f>IF(SUMPRODUCT(('alle Dateien'!B:B=Bohrungen!B158)*('alle Dateien'!D:D="mdb"))&gt;0,1,0)</f>
        <v>0</v>
      </c>
      <c r="L158">
        <f>IF(SUMPRODUCT(('alle Dateien'!B:B=Bohrungen!B158)*('alle Dateien'!D:D="xml"))&gt;0,1,0)</f>
        <v>0</v>
      </c>
      <c r="M158">
        <f>IF(SUMPRODUCT(('alle Dateien'!B:B=Bohrungen!B158)*('alle Dateien'!D:D="jpg"))&gt;0,1,0)</f>
        <v>0</v>
      </c>
      <c r="N158">
        <f>IF(SUMPRODUCT(('alle Dateien'!B:B=Bohrungen!B158)*('alle Dateien'!D:D="png"))&gt;0,1,0)</f>
        <v>0</v>
      </c>
      <c r="O158">
        <f>IF(SUMPRODUCT(('alle Dateien'!B:B=Bohrungen!B158)*('alle Dateien'!D:D="xls"))&gt;0,1,0)</f>
        <v>0</v>
      </c>
      <c r="P158">
        <f>IF(SUMPRODUCT(('alle Dateien'!B:B=Bohrungen!B158)*('alle Dateien'!D:D="txt"))&gt;0,1,0)</f>
        <v>0</v>
      </c>
      <c r="Q158">
        <f>IF(SUMPRODUCT(('alle Dateien'!B:B=Bohrungen!B158)*('alle Dateien'!D:D="ZIP oder R"))&gt;0,1,0)</f>
        <v>0</v>
      </c>
      <c r="R158">
        <f>IF(SUMPRODUCT(('alle Dateien'!B:B=Bohrungen!B158)*('alle Dateien'!D:D="tsf"))&gt;0,1,0)</f>
        <v>0</v>
      </c>
      <c r="S158">
        <f>IF(SUMPRODUCT(('alle Dateien'!B:B=Bohrungen!B158)*('alle Dateien'!D:D="sch"))&gt;0,1,0)</f>
        <v>0</v>
      </c>
      <c r="U158" t="str">
        <f t="shared" si="4"/>
        <v>10000000000000000</v>
      </c>
      <c r="V158" t="str">
        <f>VLOOKUP(U158,Kategorie!B:C,2,FALSE)</f>
        <v>pdf</v>
      </c>
    </row>
    <row r="159" spans="1:22" x14ac:dyDescent="0.25">
      <c r="A159">
        <v>158</v>
      </c>
      <c r="B159" t="s">
        <v>2295</v>
      </c>
      <c r="C159" s="2">
        <f>IF(SUMPRODUCT(('alle Dateien'!B:B=Bohrungen!B159)*('alle Dateien'!D:D="pdf"))&gt;0,1,0)</f>
        <v>1</v>
      </c>
      <c r="D159">
        <f>IF(SUMPRODUCT(('alle Dateien'!B:B=Bohrungen!B159)*('alle Dateien'!D:D="tif"))&gt;0,1,0)</f>
        <v>0</v>
      </c>
      <c r="E159">
        <f>IF(SUMPRODUCT(('alle Dateien'!B:B=Bohrungen!B159)*('alle Dateien'!D:D="sdg"))&gt;0,1,0)</f>
        <v>0</v>
      </c>
      <c r="F159">
        <f>IF(SUMPRODUCT(('alle Dateien'!B:B=Bohrungen!B159)*('alle Dateien'!D:D="xlsx"))&gt;0,1,0)</f>
        <v>0</v>
      </c>
      <c r="G159">
        <f>IF(SUMPRODUCT(('alle Dateien'!B:B=Bohrungen!B159)*('alle Dateien'!D:D="docx"))&gt;0,1,0)</f>
        <v>0</v>
      </c>
      <c r="H159">
        <f>IF(SUMPRODUCT(('alle Dateien'!B:B=Bohrungen!B159)*('alle Dateien'!D:D="las"))&gt;0,1,0)</f>
        <v>0</v>
      </c>
      <c r="I159">
        <f>IF(SUMPRODUCT(('alle Dateien'!B:B=Bohrungen!B159)*('alle Dateien'!D:D="db"))&gt;0,1,0)</f>
        <v>0</v>
      </c>
      <c r="J159">
        <f>IF(SUMPRODUCT(('alle Dateien'!B:B=Bohrungen!B159)*('alle Dateien'!D:D="rhistory"))&gt;0,1,0)</f>
        <v>0</v>
      </c>
      <c r="K159">
        <f>IF(SUMPRODUCT(('alle Dateien'!B:B=Bohrungen!B159)*('alle Dateien'!D:D="mdb"))&gt;0,1,0)</f>
        <v>0</v>
      </c>
      <c r="L159">
        <f>IF(SUMPRODUCT(('alle Dateien'!B:B=Bohrungen!B159)*('alle Dateien'!D:D="xml"))&gt;0,1,0)</f>
        <v>0</v>
      </c>
      <c r="M159">
        <f>IF(SUMPRODUCT(('alle Dateien'!B:B=Bohrungen!B159)*('alle Dateien'!D:D="jpg"))&gt;0,1,0)</f>
        <v>0</v>
      </c>
      <c r="N159">
        <f>IF(SUMPRODUCT(('alle Dateien'!B:B=Bohrungen!B159)*('alle Dateien'!D:D="png"))&gt;0,1,0)</f>
        <v>0</v>
      </c>
      <c r="O159">
        <f>IF(SUMPRODUCT(('alle Dateien'!B:B=Bohrungen!B159)*('alle Dateien'!D:D="xls"))&gt;0,1,0)</f>
        <v>0</v>
      </c>
      <c r="P159">
        <f>IF(SUMPRODUCT(('alle Dateien'!B:B=Bohrungen!B159)*('alle Dateien'!D:D="txt"))&gt;0,1,0)</f>
        <v>0</v>
      </c>
      <c r="Q159">
        <f>IF(SUMPRODUCT(('alle Dateien'!B:B=Bohrungen!B159)*('alle Dateien'!D:D="ZIP oder R"))&gt;0,1,0)</f>
        <v>0</v>
      </c>
      <c r="R159">
        <f>IF(SUMPRODUCT(('alle Dateien'!B:B=Bohrungen!B159)*('alle Dateien'!D:D="tsf"))&gt;0,1,0)</f>
        <v>0</v>
      </c>
      <c r="S159">
        <f>IF(SUMPRODUCT(('alle Dateien'!B:B=Bohrungen!B159)*('alle Dateien'!D:D="sch"))&gt;0,1,0)</f>
        <v>0</v>
      </c>
      <c r="U159" t="str">
        <f t="shared" si="4"/>
        <v>10000000000000000</v>
      </c>
      <c r="V159" t="str">
        <f>VLOOKUP(U159,Kategorie!B:C,2,FALSE)</f>
        <v>pdf</v>
      </c>
    </row>
    <row r="160" spans="1:22" x14ac:dyDescent="0.25">
      <c r="A160">
        <v>159</v>
      </c>
      <c r="B160" t="s">
        <v>2296</v>
      </c>
      <c r="C160" s="2">
        <f>IF(SUMPRODUCT(('alle Dateien'!B:B=Bohrungen!B160)*('alle Dateien'!D:D="pdf"))&gt;0,1,0)</f>
        <v>1</v>
      </c>
      <c r="D160">
        <f>IF(SUMPRODUCT(('alle Dateien'!B:B=Bohrungen!B160)*('alle Dateien'!D:D="tif"))&gt;0,1,0)</f>
        <v>1</v>
      </c>
      <c r="E160">
        <f>IF(SUMPRODUCT(('alle Dateien'!B:B=Bohrungen!B160)*('alle Dateien'!D:D="sdg"))&gt;0,1,0)</f>
        <v>0</v>
      </c>
      <c r="F160">
        <f>IF(SUMPRODUCT(('alle Dateien'!B:B=Bohrungen!B160)*('alle Dateien'!D:D="xlsx"))&gt;0,1,0)</f>
        <v>0</v>
      </c>
      <c r="G160">
        <f>IF(SUMPRODUCT(('alle Dateien'!B:B=Bohrungen!B160)*('alle Dateien'!D:D="docx"))&gt;0,1,0)</f>
        <v>0</v>
      </c>
      <c r="H160">
        <f>IF(SUMPRODUCT(('alle Dateien'!B:B=Bohrungen!B160)*('alle Dateien'!D:D="las"))&gt;0,1,0)</f>
        <v>0</v>
      </c>
      <c r="I160">
        <f>IF(SUMPRODUCT(('alle Dateien'!B:B=Bohrungen!B160)*('alle Dateien'!D:D="db"))&gt;0,1,0)</f>
        <v>0</v>
      </c>
      <c r="J160">
        <f>IF(SUMPRODUCT(('alle Dateien'!B:B=Bohrungen!B160)*('alle Dateien'!D:D="rhistory"))&gt;0,1,0)</f>
        <v>0</v>
      </c>
      <c r="K160">
        <f>IF(SUMPRODUCT(('alle Dateien'!B:B=Bohrungen!B160)*('alle Dateien'!D:D="mdb"))&gt;0,1,0)</f>
        <v>0</v>
      </c>
      <c r="L160">
        <f>IF(SUMPRODUCT(('alle Dateien'!B:B=Bohrungen!B160)*('alle Dateien'!D:D="xml"))&gt;0,1,0)</f>
        <v>0</v>
      </c>
      <c r="M160">
        <f>IF(SUMPRODUCT(('alle Dateien'!B:B=Bohrungen!B160)*('alle Dateien'!D:D="jpg"))&gt;0,1,0)</f>
        <v>0</v>
      </c>
      <c r="N160">
        <f>IF(SUMPRODUCT(('alle Dateien'!B:B=Bohrungen!B160)*('alle Dateien'!D:D="png"))&gt;0,1,0)</f>
        <v>0</v>
      </c>
      <c r="O160">
        <f>IF(SUMPRODUCT(('alle Dateien'!B:B=Bohrungen!B160)*('alle Dateien'!D:D="xls"))&gt;0,1,0)</f>
        <v>0</v>
      </c>
      <c r="P160">
        <f>IF(SUMPRODUCT(('alle Dateien'!B:B=Bohrungen!B160)*('alle Dateien'!D:D="txt"))&gt;0,1,0)</f>
        <v>0</v>
      </c>
      <c r="Q160">
        <f>IF(SUMPRODUCT(('alle Dateien'!B:B=Bohrungen!B160)*('alle Dateien'!D:D="ZIP oder R"))&gt;0,1,0)</f>
        <v>0</v>
      </c>
      <c r="R160">
        <f>IF(SUMPRODUCT(('alle Dateien'!B:B=Bohrungen!B160)*('alle Dateien'!D:D="tsf"))&gt;0,1,0)</f>
        <v>0</v>
      </c>
      <c r="S160">
        <f>IF(SUMPRODUCT(('alle Dateien'!B:B=Bohrungen!B160)*('alle Dateien'!D:D="sch"))&gt;0,1,0)</f>
        <v>0</v>
      </c>
      <c r="U160" t="str">
        <f t="shared" si="4"/>
        <v>11000000000000000</v>
      </c>
      <c r="V160" t="str">
        <f>VLOOKUP(U160,Kategorie!B:C,2,FALSE)</f>
        <v>pdf/ tif</v>
      </c>
    </row>
    <row r="161" spans="1:22" x14ac:dyDescent="0.25">
      <c r="A161">
        <v>160</v>
      </c>
      <c r="B161" t="s">
        <v>2241</v>
      </c>
      <c r="C161" s="2">
        <f>IF(SUMPRODUCT(('alle Dateien'!B:B=Bohrungen!B161)*('alle Dateien'!D:D="pdf"))&gt;0,1,0)</f>
        <v>1</v>
      </c>
      <c r="D161">
        <f>IF(SUMPRODUCT(('alle Dateien'!B:B=Bohrungen!B161)*('alle Dateien'!D:D="tif"))&gt;0,1,0)</f>
        <v>0</v>
      </c>
      <c r="E161">
        <f>IF(SUMPRODUCT(('alle Dateien'!B:B=Bohrungen!B161)*('alle Dateien'!D:D="sdg"))&gt;0,1,0)</f>
        <v>1</v>
      </c>
      <c r="F161">
        <f>IF(SUMPRODUCT(('alle Dateien'!B:B=Bohrungen!B161)*('alle Dateien'!D:D="xlsx"))&gt;0,1,0)</f>
        <v>1</v>
      </c>
      <c r="G161">
        <f>IF(SUMPRODUCT(('alle Dateien'!B:B=Bohrungen!B161)*('alle Dateien'!D:D="docx"))&gt;0,1,0)</f>
        <v>0</v>
      </c>
      <c r="H161">
        <f>IF(SUMPRODUCT(('alle Dateien'!B:B=Bohrungen!B161)*('alle Dateien'!D:D="las"))&gt;0,1,0)</f>
        <v>1</v>
      </c>
      <c r="I161">
        <f>IF(SUMPRODUCT(('alle Dateien'!B:B=Bohrungen!B161)*('alle Dateien'!D:D="db"))&gt;0,1,0)</f>
        <v>0</v>
      </c>
      <c r="J161">
        <f>IF(SUMPRODUCT(('alle Dateien'!B:B=Bohrungen!B161)*('alle Dateien'!D:D="rhistory"))&gt;0,1,0)</f>
        <v>0</v>
      </c>
      <c r="K161">
        <f>IF(SUMPRODUCT(('alle Dateien'!B:B=Bohrungen!B161)*('alle Dateien'!D:D="mdb"))&gt;0,1,0)</f>
        <v>0</v>
      </c>
      <c r="L161">
        <f>IF(SUMPRODUCT(('alle Dateien'!B:B=Bohrungen!B161)*('alle Dateien'!D:D="xml"))&gt;0,1,0)</f>
        <v>0</v>
      </c>
      <c r="M161">
        <f>IF(SUMPRODUCT(('alle Dateien'!B:B=Bohrungen!B161)*('alle Dateien'!D:D="jpg"))&gt;0,1,0)</f>
        <v>0</v>
      </c>
      <c r="N161">
        <f>IF(SUMPRODUCT(('alle Dateien'!B:B=Bohrungen!B161)*('alle Dateien'!D:D="png"))&gt;0,1,0)</f>
        <v>0</v>
      </c>
      <c r="O161">
        <f>IF(SUMPRODUCT(('alle Dateien'!B:B=Bohrungen!B161)*('alle Dateien'!D:D="xls"))&gt;0,1,0)</f>
        <v>0</v>
      </c>
      <c r="P161">
        <f>IF(SUMPRODUCT(('alle Dateien'!B:B=Bohrungen!B161)*('alle Dateien'!D:D="txt"))&gt;0,1,0)</f>
        <v>0</v>
      </c>
      <c r="Q161">
        <f>IF(SUMPRODUCT(('alle Dateien'!B:B=Bohrungen!B161)*('alle Dateien'!D:D="ZIP oder R"))&gt;0,1,0)</f>
        <v>0</v>
      </c>
      <c r="R161">
        <f>IF(SUMPRODUCT(('alle Dateien'!B:B=Bohrungen!B161)*('alle Dateien'!D:D="tsf"))&gt;0,1,0)</f>
        <v>0</v>
      </c>
      <c r="S161">
        <f>IF(SUMPRODUCT(('alle Dateien'!B:B=Bohrungen!B161)*('alle Dateien'!D:D="sch"))&gt;0,1,0)</f>
        <v>0</v>
      </c>
      <c r="U161" t="str">
        <f t="shared" si="4"/>
        <v>10110100000000000</v>
      </c>
      <c r="V161" t="str">
        <f>VLOOKUP(U161,Kategorie!B:C,2,FALSE)</f>
        <v>pdf/ sdg/ xlsx/ las</v>
      </c>
    </row>
    <row r="162" spans="1:22" x14ac:dyDescent="0.25">
      <c r="A162">
        <v>161</v>
      </c>
      <c r="B162" t="s">
        <v>2242</v>
      </c>
      <c r="C162" s="2">
        <f>IF(SUMPRODUCT(('alle Dateien'!B:B=Bohrungen!B162)*('alle Dateien'!D:D="pdf"))&gt;0,1,0)</f>
        <v>0</v>
      </c>
      <c r="D162">
        <f>IF(SUMPRODUCT(('alle Dateien'!B:B=Bohrungen!B162)*('alle Dateien'!D:D="tif"))&gt;0,1,0)</f>
        <v>0</v>
      </c>
      <c r="E162">
        <f>IF(SUMPRODUCT(('alle Dateien'!B:B=Bohrungen!B162)*('alle Dateien'!D:D="sdg"))&gt;0,1,0)</f>
        <v>1</v>
      </c>
      <c r="F162">
        <f>IF(SUMPRODUCT(('alle Dateien'!B:B=Bohrungen!B162)*('alle Dateien'!D:D="xlsx"))&gt;0,1,0)</f>
        <v>1</v>
      </c>
      <c r="G162">
        <f>IF(SUMPRODUCT(('alle Dateien'!B:B=Bohrungen!B162)*('alle Dateien'!D:D="docx"))&gt;0,1,0)</f>
        <v>0</v>
      </c>
      <c r="H162">
        <f>IF(SUMPRODUCT(('alle Dateien'!B:B=Bohrungen!B162)*('alle Dateien'!D:D="las"))&gt;0,1,0)</f>
        <v>1</v>
      </c>
      <c r="I162">
        <f>IF(SUMPRODUCT(('alle Dateien'!B:B=Bohrungen!B162)*('alle Dateien'!D:D="db"))&gt;0,1,0)</f>
        <v>0</v>
      </c>
      <c r="J162">
        <f>IF(SUMPRODUCT(('alle Dateien'!B:B=Bohrungen!B162)*('alle Dateien'!D:D="rhistory"))&gt;0,1,0)</f>
        <v>0</v>
      </c>
      <c r="K162">
        <f>IF(SUMPRODUCT(('alle Dateien'!B:B=Bohrungen!B162)*('alle Dateien'!D:D="mdb"))&gt;0,1,0)</f>
        <v>0</v>
      </c>
      <c r="L162">
        <f>IF(SUMPRODUCT(('alle Dateien'!B:B=Bohrungen!B162)*('alle Dateien'!D:D="xml"))&gt;0,1,0)</f>
        <v>0</v>
      </c>
      <c r="M162">
        <f>IF(SUMPRODUCT(('alle Dateien'!B:B=Bohrungen!B162)*('alle Dateien'!D:D="jpg"))&gt;0,1,0)</f>
        <v>0</v>
      </c>
      <c r="N162">
        <f>IF(SUMPRODUCT(('alle Dateien'!B:B=Bohrungen!B162)*('alle Dateien'!D:D="png"))&gt;0,1,0)</f>
        <v>0</v>
      </c>
      <c r="O162">
        <f>IF(SUMPRODUCT(('alle Dateien'!B:B=Bohrungen!B162)*('alle Dateien'!D:D="xls"))&gt;0,1,0)</f>
        <v>0</v>
      </c>
      <c r="P162">
        <f>IF(SUMPRODUCT(('alle Dateien'!B:B=Bohrungen!B162)*('alle Dateien'!D:D="txt"))&gt;0,1,0)</f>
        <v>0</v>
      </c>
      <c r="Q162">
        <f>IF(SUMPRODUCT(('alle Dateien'!B:B=Bohrungen!B162)*('alle Dateien'!D:D="ZIP oder R"))&gt;0,1,0)</f>
        <v>0</v>
      </c>
      <c r="R162">
        <f>IF(SUMPRODUCT(('alle Dateien'!B:B=Bohrungen!B162)*('alle Dateien'!D:D="tsf"))&gt;0,1,0)</f>
        <v>0</v>
      </c>
      <c r="S162">
        <f>IF(SUMPRODUCT(('alle Dateien'!B:B=Bohrungen!B162)*('alle Dateien'!D:D="sch"))&gt;0,1,0)</f>
        <v>0</v>
      </c>
      <c r="U162" t="str">
        <f t="shared" ref="U162:U188" si="5">CONCATENATE(C162,D162,E162,F162,G162,H162,I162,J162,K162,L162,M162,N162,O162,P162,Q162,R162,S162,)</f>
        <v>00110100000000000</v>
      </c>
      <c r="V162" t="str">
        <f>VLOOKUP(U162,Kategorie!B:C,2,FALSE)</f>
        <v>sdg/ xlsx/ las</v>
      </c>
    </row>
    <row r="163" spans="1:22" x14ac:dyDescent="0.25">
      <c r="A163">
        <v>162</v>
      </c>
      <c r="B163" t="s">
        <v>2243</v>
      </c>
      <c r="C163" s="2">
        <f>IF(SUMPRODUCT(('alle Dateien'!B:B=Bohrungen!B163)*('alle Dateien'!D:D="pdf"))&gt;0,1,0)</f>
        <v>1</v>
      </c>
      <c r="D163">
        <f>IF(SUMPRODUCT(('alle Dateien'!B:B=Bohrungen!B163)*('alle Dateien'!D:D="tif"))&gt;0,1,0)</f>
        <v>1</v>
      </c>
      <c r="E163">
        <f>IF(SUMPRODUCT(('alle Dateien'!B:B=Bohrungen!B163)*('alle Dateien'!D:D="sdg"))&gt;0,1,0)</f>
        <v>1</v>
      </c>
      <c r="F163">
        <f>IF(SUMPRODUCT(('alle Dateien'!B:B=Bohrungen!B163)*('alle Dateien'!D:D="xlsx"))&gt;0,1,0)</f>
        <v>1</v>
      </c>
      <c r="G163">
        <f>IF(SUMPRODUCT(('alle Dateien'!B:B=Bohrungen!B163)*('alle Dateien'!D:D="docx"))&gt;0,1,0)</f>
        <v>1</v>
      </c>
      <c r="H163">
        <f>IF(SUMPRODUCT(('alle Dateien'!B:B=Bohrungen!B163)*('alle Dateien'!D:D="las"))&gt;0,1,0)</f>
        <v>1</v>
      </c>
      <c r="I163">
        <f>IF(SUMPRODUCT(('alle Dateien'!B:B=Bohrungen!B163)*('alle Dateien'!D:D="db"))&gt;0,1,0)</f>
        <v>1</v>
      </c>
      <c r="J163">
        <f>IF(SUMPRODUCT(('alle Dateien'!B:B=Bohrungen!B163)*('alle Dateien'!D:D="rhistory"))&gt;0,1,0)</f>
        <v>0</v>
      </c>
      <c r="K163">
        <f>IF(SUMPRODUCT(('alle Dateien'!B:B=Bohrungen!B163)*('alle Dateien'!D:D="mdb"))&gt;0,1,0)</f>
        <v>0</v>
      </c>
      <c r="L163">
        <f>IF(SUMPRODUCT(('alle Dateien'!B:B=Bohrungen!B163)*('alle Dateien'!D:D="xml"))&gt;0,1,0)</f>
        <v>0</v>
      </c>
      <c r="M163">
        <f>IF(SUMPRODUCT(('alle Dateien'!B:B=Bohrungen!B163)*('alle Dateien'!D:D="jpg"))&gt;0,1,0)</f>
        <v>0</v>
      </c>
      <c r="N163">
        <f>IF(SUMPRODUCT(('alle Dateien'!B:B=Bohrungen!B163)*('alle Dateien'!D:D="png"))&gt;0,1,0)</f>
        <v>0</v>
      </c>
      <c r="O163">
        <f>IF(SUMPRODUCT(('alle Dateien'!B:B=Bohrungen!B163)*('alle Dateien'!D:D="xls"))&gt;0,1,0)</f>
        <v>0</v>
      </c>
      <c r="P163">
        <f>IF(SUMPRODUCT(('alle Dateien'!B:B=Bohrungen!B163)*('alle Dateien'!D:D="txt"))&gt;0,1,0)</f>
        <v>0</v>
      </c>
      <c r="Q163">
        <f>IF(SUMPRODUCT(('alle Dateien'!B:B=Bohrungen!B163)*('alle Dateien'!D:D="ZIP oder R"))&gt;0,1,0)</f>
        <v>0</v>
      </c>
      <c r="R163">
        <f>IF(SUMPRODUCT(('alle Dateien'!B:B=Bohrungen!B163)*('alle Dateien'!D:D="tsf"))&gt;0,1,0)</f>
        <v>0</v>
      </c>
      <c r="S163">
        <f>IF(SUMPRODUCT(('alle Dateien'!B:B=Bohrungen!B163)*('alle Dateien'!D:D="sch"))&gt;0,1,0)</f>
        <v>0</v>
      </c>
      <c r="U163" t="str">
        <f t="shared" si="5"/>
        <v>11111110000000000</v>
      </c>
      <c r="V163" t="str">
        <f>VLOOKUP(U163,Kategorie!B:C,2,FALSE)</f>
        <v>pdf/ tif/ sdg/ xlsx/ docx/ las/ db</v>
      </c>
    </row>
    <row r="164" spans="1:22" x14ac:dyDescent="0.25">
      <c r="A164">
        <v>163</v>
      </c>
      <c r="B164" t="s">
        <v>2244</v>
      </c>
      <c r="C164" s="2">
        <f>IF(SUMPRODUCT(('alle Dateien'!B:B=Bohrungen!B164)*('alle Dateien'!D:D="pdf"))&gt;0,1,0)</f>
        <v>1</v>
      </c>
      <c r="D164">
        <f>IF(SUMPRODUCT(('alle Dateien'!B:B=Bohrungen!B164)*('alle Dateien'!D:D="tif"))&gt;0,1,0)</f>
        <v>0</v>
      </c>
      <c r="E164">
        <f>IF(SUMPRODUCT(('alle Dateien'!B:B=Bohrungen!B164)*('alle Dateien'!D:D="sdg"))&gt;0,1,0)</f>
        <v>0</v>
      </c>
      <c r="F164">
        <f>IF(SUMPRODUCT(('alle Dateien'!B:B=Bohrungen!B164)*('alle Dateien'!D:D="xlsx"))&gt;0,1,0)</f>
        <v>0</v>
      </c>
      <c r="G164">
        <f>IF(SUMPRODUCT(('alle Dateien'!B:B=Bohrungen!B164)*('alle Dateien'!D:D="docx"))&gt;0,1,0)</f>
        <v>0</v>
      </c>
      <c r="H164">
        <f>IF(SUMPRODUCT(('alle Dateien'!B:B=Bohrungen!B164)*('alle Dateien'!D:D="las"))&gt;0,1,0)</f>
        <v>0</v>
      </c>
      <c r="I164">
        <f>IF(SUMPRODUCT(('alle Dateien'!B:B=Bohrungen!B164)*('alle Dateien'!D:D="db"))&gt;0,1,0)</f>
        <v>0</v>
      </c>
      <c r="J164">
        <f>IF(SUMPRODUCT(('alle Dateien'!B:B=Bohrungen!B164)*('alle Dateien'!D:D="rhistory"))&gt;0,1,0)</f>
        <v>0</v>
      </c>
      <c r="K164">
        <f>IF(SUMPRODUCT(('alle Dateien'!B:B=Bohrungen!B164)*('alle Dateien'!D:D="mdb"))&gt;0,1,0)</f>
        <v>0</v>
      </c>
      <c r="L164">
        <f>IF(SUMPRODUCT(('alle Dateien'!B:B=Bohrungen!B164)*('alle Dateien'!D:D="xml"))&gt;0,1,0)</f>
        <v>0</v>
      </c>
      <c r="M164">
        <f>IF(SUMPRODUCT(('alle Dateien'!B:B=Bohrungen!B164)*('alle Dateien'!D:D="jpg"))&gt;0,1,0)</f>
        <v>0</v>
      </c>
      <c r="N164">
        <f>IF(SUMPRODUCT(('alle Dateien'!B:B=Bohrungen!B164)*('alle Dateien'!D:D="png"))&gt;0,1,0)</f>
        <v>0</v>
      </c>
      <c r="O164">
        <f>IF(SUMPRODUCT(('alle Dateien'!B:B=Bohrungen!B164)*('alle Dateien'!D:D="xls"))&gt;0,1,0)</f>
        <v>0</v>
      </c>
      <c r="P164">
        <f>IF(SUMPRODUCT(('alle Dateien'!B:B=Bohrungen!B164)*('alle Dateien'!D:D="txt"))&gt;0,1,0)</f>
        <v>0</v>
      </c>
      <c r="Q164">
        <f>IF(SUMPRODUCT(('alle Dateien'!B:B=Bohrungen!B164)*('alle Dateien'!D:D="ZIP oder R"))&gt;0,1,0)</f>
        <v>0</v>
      </c>
      <c r="R164">
        <f>IF(SUMPRODUCT(('alle Dateien'!B:B=Bohrungen!B164)*('alle Dateien'!D:D="tsf"))&gt;0,1,0)</f>
        <v>0</v>
      </c>
      <c r="S164">
        <f>IF(SUMPRODUCT(('alle Dateien'!B:B=Bohrungen!B164)*('alle Dateien'!D:D="sch"))&gt;0,1,0)</f>
        <v>0</v>
      </c>
      <c r="U164" t="str">
        <f t="shared" si="5"/>
        <v>10000000000000000</v>
      </c>
      <c r="V164" t="str">
        <f>VLOOKUP(U164,Kategorie!B:C,2,FALSE)</f>
        <v>pdf</v>
      </c>
    </row>
    <row r="165" spans="1:22" x14ac:dyDescent="0.25">
      <c r="A165">
        <v>164</v>
      </c>
      <c r="B165" t="s">
        <v>2245</v>
      </c>
      <c r="C165" s="2">
        <f>IF(SUMPRODUCT(('alle Dateien'!B:B=Bohrungen!B165)*('alle Dateien'!D:D="pdf"))&gt;0,1,0)</f>
        <v>1</v>
      </c>
      <c r="D165">
        <f>IF(SUMPRODUCT(('alle Dateien'!B:B=Bohrungen!B165)*('alle Dateien'!D:D="tif"))&gt;0,1,0)</f>
        <v>0</v>
      </c>
      <c r="E165">
        <f>IF(SUMPRODUCT(('alle Dateien'!B:B=Bohrungen!B165)*('alle Dateien'!D:D="sdg"))&gt;0,1,0)</f>
        <v>0</v>
      </c>
      <c r="F165">
        <f>IF(SUMPRODUCT(('alle Dateien'!B:B=Bohrungen!B165)*('alle Dateien'!D:D="xlsx"))&gt;0,1,0)</f>
        <v>0</v>
      </c>
      <c r="G165">
        <f>IF(SUMPRODUCT(('alle Dateien'!B:B=Bohrungen!B165)*('alle Dateien'!D:D="docx"))&gt;0,1,0)</f>
        <v>0</v>
      </c>
      <c r="H165">
        <f>IF(SUMPRODUCT(('alle Dateien'!B:B=Bohrungen!B165)*('alle Dateien'!D:D="las"))&gt;0,1,0)</f>
        <v>0</v>
      </c>
      <c r="I165">
        <f>IF(SUMPRODUCT(('alle Dateien'!B:B=Bohrungen!B165)*('alle Dateien'!D:D="db"))&gt;0,1,0)</f>
        <v>0</v>
      </c>
      <c r="J165">
        <f>IF(SUMPRODUCT(('alle Dateien'!B:B=Bohrungen!B165)*('alle Dateien'!D:D="rhistory"))&gt;0,1,0)</f>
        <v>0</v>
      </c>
      <c r="K165">
        <f>IF(SUMPRODUCT(('alle Dateien'!B:B=Bohrungen!B165)*('alle Dateien'!D:D="mdb"))&gt;0,1,0)</f>
        <v>0</v>
      </c>
      <c r="L165">
        <f>IF(SUMPRODUCT(('alle Dateien'!B:B=Bohrungen!B165)*('alle Dateien'!D:D="xml"))&gt;0,1,0)</f>
        <v>0</v>
      </c>
      <c r="M165">
        <f>IF(SUMPRODUCT(('alle Dateien'!B:B=Bohrungen!B165)*('alle Dateien'!D:D="jpg"))&gt;0,1,0)</f>
        <v>0</v>
      </c>
      <c r="N165">
        <f>IF(SUMPRODUCT(('alle Dateien'!B:B=Bohrungen!B165)*('alle Dateien'!D:D="png"))&gt;0,1,0)</f>
        <v>0</v>
      </c>
      <c r="O165">
        <f>IF(SUMPRODUCT(('alle Dateien'!B:B=Bohrungen!B165)*('alle Dateien'!D:D="xls"))&gt;0,1,0)</f>
        <v>0</v>
      </c>
      <c r="P165">
        <f>IF(SUMPRODUCT(('alle Dateien'!B:B=Bohrungen!B165)*('alle Dateien'!D:D="txt"))&gt;0,1,0)</f>
        <v>0</v>
      </c>
      <c r="Q165">
        <f>IF(SUMPRODUCT(('alle Dateien'!B:B=Bohrungen!B165)*('alle Dateien'!D:D="ZIP oder R"))&gt;0,1,0)</f>
        <v>0</v>
      </c>
      <c r="R165">
        <f>IF(SUMPRODUCT(('alle Dateien'!B:B=Bohrungen!B165)*('alle Dateien'!D:D="tsf"))&gt;0,1,0)</f>
        <v>0</v>
      </c>
      <c r="S165">
        <f>IF(SUMPRODUCT(('alle Dateien'!B:B=Bohrungen!B165)*('alle Dateien'!D:D="sch"))&gt;0,1,0)</f>
        <v>0</v>
      </c>
      <c r="U165" t="str">
        <f t="shared" si="5"/>
        <v>10000000000000000</v>
      </c>
      <c r="V165" t="str">
        <f>VLOOKUP(U165,Kategorie!B:C,2,FALSE)</f>
        <v>pdf</v>
      </c>
    </row>
    <row r="166" spans="1:22" x14ac:dyDescent="0.25">
      <c r="A166">
        <v>165</v>
      </c>
      <c r="B166" t="s">
        <v>2246</v>
      </c>
      <c r="C166" s="2">
        <f>IF(SUMPRODUCT(('alle Dateien'!B:B=Bohrungen!B166)*('alle Dateien'!D:D="pdf"))&gt;0,1,0)</f>
        <v>0</v>
      </c>
      <c r="D166">
        <f>IF(SUMPRODUCT(('alle Dateien'!B:B=Bohrungen!B166)*('alle Dateien'!D:D="tif"))&gt;0,1,0)</f>
        <v>0</v>
      </c>
      <c r="E166">
        <f>IF(SUMPRODUCT(('alle Dateien'!B:B=Bohrungen!B166)*('alle Dateien'!D:D="sdg"))&gt;0,1,0)</f>
        <v>1</v>
      </c>
      <c r="F166">
        <f>IF(SUMPRODUCT(('alle Dateien'!B:B=Bohrungen!B166)*('alle Dateien'!D:D="xlsx"))&gt;0,1,0)</f>
        <v>1</v>
      </c>
      <c r="G166">
        <f>IF(SUMPRODUCT(('alle Dateien'!B:B=Bohrungen!B166)*('alle Dateien'!D:D="docx"))&gt;0,1,0)</f>
        <v>0</v>
      </c>
      <c r="H166">
        <f>IF(SUMPRODUCT(('alle Dateien'!B:B=Bohrungen!B166)*('alle Dateien'!D:D="las"))&gt;0,1,0)</f>
        <v>1</v>
      </c>
      <c r="I166">
        <f>IF(SUMPRODUCT(('alle Dateien'!B:B=Bohrungen!B166)*('alle Dateien'!D:D="db"))&gt;0,1,0)</f>
        <v>0</v>
      </c>
      <c r="J166">
        <f>IF(SUMPRODUCT(('alle Dateien'!B:B=Bohrungen!B166)*('alle Dateien'!D:D="rhistory"))&gt;0,1,0)</f>
        <v>0</v>
      </c>
      <c r="K166">
        <f>IF(SUMPRODUCT(('alle Dateien'!B:B=Bohrungen!B166)*('alle Dateien'!D:D="mdb"))&gt;0,1,0)</f>
        <v>0</v>
      </c>
      <c r="L166">
        <f>IF(SUMPRODUCT(('alle Dateien'!B:B=Bohrungen!B166)*('alle Dateien'!D:D="xml"))&gt;0,1,0)</f>
        <v>0</v>
      </c>
      <c r="M166">
        <f>IF(SUMPRODUCT(('alle Dateien'!B:B=Bohrungen!B166)*('alle Dateien'!D:D="jpg"))&gt;0,1,0)</f>
        <v>0</v>
      </c>
      <c r="N166">
        <f>IF(SUMPRODUCT(('alle Dateien'!B:B=Bohrungen!B166)*('alle Dateien'!D:D="png"))&gt;0,1,0)</f>
        <v>0</v>
      </c>
      <c r="O166">
        <f>IF(SUMPRODUCT(('alle Dateien'!B:B=Bohrungen!B166)*('alle Dateien'!D:D="xls"))&gt;0,1,0)</f>
        <v>0</v>
      </c>
      <c r="P166">
        <f>IF(SUMPRODUCT(('alle Dateien'!B:B=Bohrungen!B166)*('alle Dateien'!D:D="txt"))&gt;0,1,0)</f>
        <v>0</v>
      </c>
      <c r="Q166">
        <f>IF(SUMPRODUCT(('alle Dateien'!B:B=Bohrungen!B166)*('alle Dateien'!D:D="ZIP oder R"))&gt;0,1,0)</f>
        <v>0</v>
      </c>
      <c r="R166">
        <f>IF(SUMPRODUCT(('alle Dateien'!B:B=Bohrungen!B166)*('alle Dateien'!D:D="tsf"))&gt;0,1,0)</f>
        <v>0</v>
      </c>
      <c r="S166">
        <f>IF(SUMPRODUCT(('alle Dateien'!B:B=Bohrungen!B166)*('alle Dateien'!D:D="sch"))&gt;0,1,0)</f>
        <v>0</v>
      </c>
      <c r="U166" t="str">
        <f t="shared" si="5"/>
        <v>00110100000000000</v>
      </c>
      <c r="V166" t="str">
        <f>VLOOKUP(U166,Kategorie!B:C,2,FALSE)</f>
        <v>sdg/ xlsx/ las</v>
      </c>
    </row>
    <row r="167" spans="1:22" x14ac:dyDescent="0.25">
      <c r="A167">
        <v>166</v>
      </c>
      <c r="B167" t="s">
        <v>2247</v>
      </c>
      <c r="C167" s="2">
        <f>IF(SUMPRODUCT(('alle Dateien'!B:B=Bohrungen!B167)*('alle Dateien'!D:D="pdf"))&gt;0,1,0)</f>
        <v>1</v>
      </c>
      <c r="D167">
        <f>IF(SUMPRODUCT(('alle Dateien'!B:B=Bohrungen!B167)*('alle Dateien'!D:D="tif"))&gt;0,1,0)</f>
        <v>1</v>
      </c>
      <c r="E167">
        <f>IF(SUMPRODUCT(('alle Dateien'!B:B=Bohrungen!B167)*('alle Dateien'!D:D="sdg"))&gt;0,1,0)</f>
        <v>0</v>
      </c>
      <c r="F167">
        <f>IF(SUMPRODUCT(('alle Dateien'!B:B=Bohrungen!B167)*('alle Dateien'!D:D="xlsx"))&gt;0,1,0)</f>
        <v>0</v>
      </c>
      <c r="G167">
        <f>IF(SUMPRODUCT(('alle Dateien'!B:B=Bohrungen!B167)*('alle Dateien'!D:D="docx"))&gt;0,1,0)</f>
        <v>0</v>
      </c>
      <c r="H167">
        <f>IF(SUMPRODUCT(('alle Dateien'!B:B=Bohrungen!B167)*('alle Dateien'!D:D="las"))&gt;0,1,0)</f>
        <v>0</v>
      </c>
      <c r="I167">
        <f>IF(SUMPRODUCT(('alle Dateien'!B:B=Bohrungen!B167)*('alle Dateien'!D:D="db"))&gt;0,1,0)</f>
        <v>0</v>
      </c>
      <c r="J167">
        <f>IF(SUMPRODUCT(('alle Dateien'!B:B=Bohrungen!B167)*('alle Dateien'!D:D="rhistory"))&gt;0,1,0)</f>
        <v>0</v>
      </c>
      <c r="K167">
        <f>IF(SUMPRODUCT(('alle Dateien'!B:B=Bohrungen!B167)*('alle Dateien'!D:D="mdb"))&gt;0,1,0)</f>
        <v>0</v>
      </c>
      <c r="L167">
        <f>IF(SUMPRODUCT(('alle Dateien'!B:B=Bohrungen!B167)*('alle Dateien'!D:D="xml"))&gt;0,1,0)</f>
        <v>0</v>
      </c>
      <c r="M167">
        <f>IF(SUMPRODUCT(('alle Dateien'!B:B=Bohrungen!B167)*('alle Dateien'!D:D="jpg"))&gt;0,1,0)</f>
        <v>0</v>
      </c>
      <c r="N167">
        <f>IF(SUMPRODUCT(('alle Dateien'!B:B=Bohrungen!B167)*('alle Dateien'!D:D="png"))&gt;0,1,0)</f>
        <v>0</v>
      </c>
      <c r="O167">
        <f>IF(SUMPRODUCT(('alle Dateien'!B:B=Bohrungen!B167)*('alle Dateien'!D:D="xls"))&gt;0,1,0)</f>
        <v>0</v>
      </c>
      <c r="P167">
        <f>IF(SUMPRODUCT(('alle Dateien'!B:B=Bohrungen!B167)*('alle Dateien'!D:D="txt"))&gt;0,1,0)</f>
        <v>0</v>
      </c>
      <c r="Q167">
        <f>IF(SUMPRODUCT(('alle Dateien'!B:B=Bohrungen!B167)*('alle Dateien'!D:D="ZIP oder R"))&gt;0,1,0)</f>
        <v>0</v>
      </c>
      <c r="R167">
        <f>IF(SUMPRODUCT(('alle Dateien'!B:B=Bohrungen!B167)*('alle Dateien'!D:D="tsf"))&gt;0,1,0)</f>
        <v>0</v>
      </c>
      <c r="S167">
        <f>IF(SUMPRODUCT(('alle Dateien'!B:B=Bohrungen!B167)*('alle Dateien'!D:D="sch"))&gt;0,1,0)</f>
        <v>0</v>
      </c>
      <c r="U167" t="str">
        <f t="shared" si="5"/>
        <v>11000000000000000</v>
      </c>
      <c r="V167" t="str">
        <f>VLOOKUP(U167,Kategorie!B:C,2,FALSE)</f>
        <v>pdf/ tif</v>
      </c>
    </row>
    <row r="168" spans="1:22" x14ac:dyDescent="0.25">
      <c r="A168">
        <v>167</v>
      </c>
      <c r="B168" t="s">
        <v>2248</v>
      </c>
      <c r="C168" s="2">
        <f>IF(SUMPRODUCT(('alle Dateien'!B:B=Bohrungen!B168)*('alle Dateien'!D:D="pdf"))&gt;0,1,0)</f>
        <v>1</v>
      </c>
      <c r="D168">
        <f>IF(SUMPRODUCT(('alle Dateien'!B:B=Bohrungen!B168)*('alle Dateien'!D:D="tif"))&gt;0,1,0)</f>
        <v>1</v>
      </c>
      <c r="E168">
        <f>IF(SUMPRODUCT(('alle Dateien'!B:B=Bohrungen!B168)*('alle Dateien'!D:D="sdg"))&gt;0,1,0)</f>
        <v>0</v>
      </c>
      <c r="F168">
        <f>IF(SUMPRODUCT(('alle Dateien'!B:B=Bohrungen!B168)*('alle Dateien'!D:D="xlsx"))&gt;0,1,0)</f>
        <v>0</v>
      </c>
      <c r="G168">
        <f>IF(SUMPRODUCT(('alle Dateien'!B:B=Bohrungen!B168)*('alle Dateien'!D:D="docx"))&gt;0,1,0)</f>
        <v>0</v>
      </c>
      <c r="H168">
        <f>IF(SUMPRODUCT(('alle Dateien'!B:B=Bohrungen!B168)*('alle Dateien'!D:D="las"))&gt;0,1,0)</f>
        <v>0</v>
      </c>
      <c r="I168">
        <f>IF(SUMPRODUCT(('alle Dateien'!B:B=Bohrungen!B168)*('alle Dateien'!D:D="db"))&gt;0,1,0)</f>
        <v>0</v>
      </c>
      <c r="J168">
        <f>IF(SUMPRODUCT(('alle Dateien'!B:B=Bohrungen!B168)*('alle Dateien'!D:D="rhistory"))&gt;0,1,0)</f>
        <v>0</v>
      </c>
      <c r="K168">
        <f>IF(SUMPRODUCT(('alle Dateien'!B:B=Bohrungen!B168)*('alle Dateien'!D:D="mdb"))&gt;0,1,0)</f>
        <v>0</v>
      </c>
      <c r="L168">
        <f>IF(SUMPRODUCT(('alle Dateien'!B:B=Bohrungen!B168)*('alle Dateien'!D:D="xml"))&gt;0,1,0)</f>
        <v>0</v>
      </c>
      <c r="M168">
        <f>IF(SUMPRODUCT(('alle Dateien'!B:B=Bohrungen!B168)*('alle Dateien'!D:D="jpg"))&gt;0,1,0)</f>
        <v>0</v>
      </c>
      <c r="N168">
        <f>IF(SUMPRODUCT(('alle Dateien'!B:B=Bohrungen!B168)*('alle Dateien'!D:D="png"))&gt;0,1,0)</f>
        <v>0</v>
      </c>
      <c r="O168">
        <f>IF(SUMPRODUCT(('alle Dateien'!B:B=Bohrungen!B168)*('alle Dateien'!D:D="xls"))&gt;0,1,0)</f>
        <v>0</v>
      </c>
      <c r="P168">
        <f>IF(SUMPRODUCT(('alle Dateien'!B:B=Bohrungen!B168)*('alle Dateien'!D:D="txt"))&gt;0,1,0)</f>
        <v>0</v>
      </c>
      <c r="Q168">
        <f>IF(SUMPRODUCT(('alle Dateien'!B:B=Bohrungen!B168)*('alle Dateien'!D:D="ZIP oder R"))&gt;0,1,0)</f>
        <v>0</v>
      </c>
      <c r="R168">
        <f>IF(SUMPRODUCT(('alle Dateien'!B:B=Bohrungen!B168)*('alle Dateien'!D:D="tsf"))&gt;0,1,0)</f>
        <v>0</v>
      </c>
      <c r="S168">
        <f>IF(SUMPRODUCT(('alle Dateien'!B:B=Bohrungen!B168)*('alle Dateien'!D:D="sch"))&gt;0,1,0)</f>
        <v>0</v>
      </c>
      <c r="U168" t="str">
        <f t="shared" si="5"/>
        <v>11000000000000000</v>
      </c>
      <c r="V168" t="str">
        <f>VLOOKUP(U168,Kategorie!B:C,2,FALSE)</f>
        <v>pdf/ tif</v>
      </c>
    </row>
    <row r="169" spans="1:22" x14ac:dyDescent="0.25">
      <c r="A169">
        <v>168</v>
      </c>
      <c r="B169" t="s">
        <v>2249</v>
      </c>
      <c r="C169" s="2">
        <f>IF(SUMPRODUCT(('alle Dateien'!B:B=Bohrungen!B169)*('alle Dateien'!D:D="pdf"))&gt;0,1,0)</f>
        <v>1</v>
      </c>
      <c r="D169">
        <f>IF(SUMPRODUCT(('alle Dateien'!B:B=Bohrungen!B169)*('alle Dateien'!D:D="tif"))&gt;0,1,0)</f>
        <v>1</v>
      </c>
      <c r="E169">
        <f>IF(SUMPRODUCT(('alle Dateien'!B:B=Bohrungen!B169)*('alle Dateien'!D:D="sdg"))&gt;0,1,0)</f>
        <v>0</v>
      </c>
      <c r="F169">
        <f>IF(SUMPRODUCT(('alle Dateien'!B:B=Bohrungen!B169)*('alle Dateien'!D:D="xlsx"))&gt;0,1,0)</f>
        <v>0</v>
      </c>
      <c r="G169">
        <f>IF(SUMPRODUCT(('alle Dateien'!B:B=Bohrungen!B169)*('alle Dateien'!D:D="docx"))&gt;0,1,0)</f>
        <v>0</v>
      </c>
      <c r="H169">
        <f>IF(SUMPRODUCT(('alle Dateien'!B:B=Bohrungen!B169)*('alle Dateien'!D:D="las"))&gt;0,1,0)</f>
        <v>0</v>
      </c>
      <c r="I169">
        <f>IF(SUMPRODUCT(('alle Dateien'!B:B=Bohrungen!B169)*('alle Dateien'!D:D="db"))&gt;0,1,0)</f>
        <v>0</v>
      </c>
      <c r="J169">
        <f>IF(SUMPRODUCT(('alle Dateien'!B:B=Bohrungen!B169)*('alle Dateien'!D:D="rhistory"))&gt;0,1,0)</f>
        <v>0</v>
      </c>
      <c r="K169">
        <f>IF(SUMPRODUCT(('alle Dateien'!B:B=Bohrungen!B169)*('alle Dateien'!D:D="mdb"))&gt;0,1,0)</f>
        <v>0</v>
      </c>
      <c r="L169">
        <f>IF(SUMPRODUCT(('alle Dateien'!B:B=Bohrungen!B169)*('alle Dateien'!D:D="xml"))&gt;0,1,0)</f>
        <v>0</v>
      </c>
      <c r="M169">
        <f>IF(SUMPRODUCT(('alle Dateien'!B:B=Bohrungen!B169)*('alle Dateien'!D:D="jpg"))&gt;0,1,0)</f>
        <v>0</v>
      </c>
      <c r="N169">
        <f>IF(SUMPRODUCT(('alle Dateien'!B:B=Bohrungen!B169)*('alle Dateien'!D:D="png"))&gt;0,1,0)</f>
        <v>0</v>
      </c>
      <c r="O169">
        <f>IF(SUMPRODUCT(('alle Dateien'!B:B=Bohrungen!B169)*('alle Dateien'!D:D="xls"))&gt;0,1,0)</f>
        <v>0</v>
      </c>
      <c r="P169">
        <f>IF(SUMPRODUCT(('alle Dateien'!B:B=Bohrungen!B169)*('alle Dateien'!D:D="txt"))&gt;0,1,0)</f>
        <v>0</v>
      </c>
      <c r="Q169">
        <f>IF(SUMPRODUCT(('alle Dateien'!B:B=Bohrungen!B169)*('alle Dateien'!D:D="ZIP oder R"))&gt;0,1,0)</f>
        <v>0</v>
      </c>
      <c r="R169">
        <f>IF(SUMPRODUCT(('alle Dateien'!B:B=Bohrungen!B169)*('alle Dateien'!D:D="tsf"))&gt;0,1,0)</f>
        <v>0</v>
      </c>
      <c r="S169">
        <f>IF(SUMPRODUCT(('alle Dateien'!B:B=Bohrungen!B169)*('alle Dateien'!D:D="sch"))&gt;0,1,0)</f>
        <v>0</v>
      </c>
      <c r="U169" t="str">
        <f t="shared" si="5"/>
        <v>11000000000000000</v>
      </c>
      <c r="V169" t="str">
        <f>VLOOKUP(U169,Kategorie!B:C,2,FALSE)</f>
        <v>pdf/ tif</v>
      </c>
    </row>
    <row r="170" spans="1:22" x14ac:dyDescent="0.25">
      <c r="A170">
        <v>169</v>
      </c>
      <c r="B170" t="s">
        <v>2250</v>
      </c>
      <c r="C170" s="2">
        <f>IF(SUMPRODUCT(('alle Dateien'!B:B=Bohrungen!B170)*('alle Dateien'!D:D="pdf"))&gt;0,1,0)</f>
        <v>1</v>
      </c>
      <c r="D170">
        <f>IF(SUMPRODUCT(('alle Dateien'!B:B=Bohrungen!B170)*('alle Dateien'!D:D="tif"))&gt;0,1,0)</f>
        <v>0</v>
      </c>
      <c r="E170">
        <f>IF(SUMPRODUCT(('alle Dateien'!B:B=Bohrungen!B170)*('alle Dateien'!D:D="sdg"))&gt;0,1,0)</f>
        <v>1</v>
      </c>
      <c r="F170">
        <f>IF(SUMPRODUCT(('alle Dateien'!B:B=Bohrungen!B170)*('alle Dateien'!D:D="xlsx"))&gt;0,1,0)</f>
        <v>1</v>
      </c>
      <c r="G170">
        <f>IF(SUMPRODUCT(('alle Dateien'!B:B=Bohrungen!B170)*('alle Dateien'!D:D="docx"))&gt;0,1,0)</f>
        <v>0</v>
      </c>
      <c r="H170">
        <f>IF(SUMPRODUCT(('alle Dateien'!B:B=Bohrungen!B170)*('alle Dateien'!D:D="las"))&gt;0,1,0)</f>
        <v>1</v>
      </c>
      <c r="I170">
        <f>IF(SUMPRODUCT(('alle Dateien'!B:B=Bohrungen!B170)*('alle Dateien'!D:D="db"))&gt;0,1,0)</f>
        <v>0</v>
      </c>
      <c r="J170">
        <f>IF(SUMPRODUCT(('alle Dateien'!B:B=Bohrungen!B170)*('alle Dateien'!D:D="rhistory"))&gt;0,1,0)</f>
        <v>0</v>
      </c>
      <c r="K170">
        <f>IF(SUMPRODUCT(('alle Dateien'!B:B=Bohrungen!B170)*('alle Dateien'!D:D="mdb"))&gt;0,1,0)</f>
        <v>0</v>
      </c>
      <c r="L170">
        <f>IF(SUMPRODUCT(('alle Dateien'!B:B=Bohrungen!B170)*('alle Dateien'!D:D="xml"))&gt;0,1,0)</f>
        <v>0</v>
      </c>
      <c r="M170">
        <f>IF(SUMPRODUCT(('alle Dateien'!B:B=Bohrungen!B170)*('alle Dateien'!D:D="jpg"))&gt;0,1,0)</f>
        <v>0</v>
      </c>
      <c r="N170">
        <f>IF(SUMPRODUCT(('alle Dateien'!B:B=Bohrungen!B170)*('alle Dateien'!D:D="png"))&gt;0,1,0)</f>
        <v>0</v>
      </c>
      <c r="O170">
        <f>IF(SUMPRODUCT(('alle Dateien'!B:B=Bohrungen!B170)*('alle Dateien'!D:D="xls"))&gt;0,1,0)</f>
        <v>0</v>
      </c>
      <c r="P170">
        <f>IF(SUMPRODUCT(('alle Dateien'!B:B=Bohrungen!B170)*('alle Dateien'!D:D="txt"))&gt;0,1,0)</f>
        <v>0</v>
      </c>
      <c r="Q170">
        <f>IF(SUMPRODUCT(('alle Dateien'!B:B=Bohrungen!B170)*('alle Dateien'!D:D="ZIP oder R"))&gt;0,1,0)</f>
        <v>0</v>
      </c>
      <c r="R170">
        <f>IF(SUMPRODUCT(('alle Dateien'!B:B=Bohrungen!B170)*('alle Dateien'!D:D="tsf"))&gt;0,1,0)</f>
        <v>0</v>
      </c>
      <c r="S170">
        <f>IF(SUMPRODUCT(('alle Dateien'!B:B=Bohrungen!B170)*('alle Dateien'!D:D="sch"))&gt;0,1,0)</f>
        <v>0</v>
      </c>
      <c r="U170" t="str">
        <f t="shared" si="5"/>
        <v>10110100000000000</v>
      </c>
      <c r="V170" t="str">
        <f>VLOOKUP(U170,Kategorie!B:C,2,FALSE)</f>
        <v>pdf/ sdg/ xlsx/ las</v>
      </c>
    </row>
    <row r="171" spans="1:22" x14ac:dyDescent="0.25">
      <c r="A171">
        <v>170</v>
      </c>
      <c r="B171" t="s">
        <v>2251</v>
      </c>
      <c r="C171" s="2">
        <f>IF(SUMPRODUCT(('alle Dateien'!B:B=Bohrungen!B171)*('alle Dateien'!D:D="pdf"))&gt;0,1,0)</f>
        <v>1</v>
      </c>
      <c r="D171">
        <f>IF(SUMPRODUCT(('alle Dateien'!B:B=Bohrungen!B171)*('alle Dateien'!D:D="tif"))&gt;0,1,0)</f>
        <v>0</v>
      </c>
      <c r="E171">
        <f>IF(SUMPRODUCT(('alle Dateien'!B:B=Bohrungen!B171)*('alle Dateien'!D:D="sdg"))&gt;0,1,0)</f>
        <v>0</v>
      </c>
      <c r="F171">
        <f>IF(SUMPRODUCT(('alle Dateien'!B:B=Bohrungen!B171)*('alle Dateien'!D:D="xlsx"))&gt;0,1,0)</f>
        <v>0</v>
      </c>
      <c r="G171">
        <f>IF(SUMPRODUCT(('alle Dateien'!B:B=Bohrungen!B171)*('alle Dateien'!D:D="docx"))&gt;0,1,0)</f>
        <v>0</v>
      </c>
      <c r="H171">
        <f>IF(SUMPRODUCT(('alle Dateien'!B:B=Bohrungen!B171)*('alle Dateien'!D:D="las"))&gt;0,1,0)</f>
        <v>0</v>
      </c>
      <c r="I171">
        <f>IF(SUMPRODUCT(('alle Dateien'!B:B=Bohrungen!B171)*('alle Dateien'!D:D="db"))&gt;0,1,0)</f>
        <v>0</v>
      </c>
      <c r="J171">
        <f>IF(SUMPRODUCT(('alle Dateien'!B:B=Bohrungen!B171)*('alle Dateien'!D:D="rhistory"))&gt;0,1,0)</f>
        <v>0</v>
      </c>
      <c r="K171">
        <f>IF(SUMPRODUCT(('alle Dateien'!B:B=Bohrungen!B171)*('alle Dateien'!D:D="mdb"))&gt;0,1,0)</f>
        <v>0</v>
      </c>
      <c r="L171">
        <f>IF(SUMPRODUCT(('alle Dateien'!B:B=Bohrungen!B171)*('alle Dateien'!D:D="xml"))&gt;0,1,0)</f>
        <v>0</v>
      </c>
      <c r="M171">
        <f>IF(SUMPRODUCT(('alle Dateien'!B:B=Bohrungen!B171)*('alle Dateien'!D:D="jpg"))&gt;0,1,0)</f>
        <v>0</v>
      </c>
      <c r="N171">
        <f>IF(SUMPRODUCT(('alle Dateien'!B:B=Bohrungen!B171)*('alle Dateien'!D:D="png"))&gt;0,1,0)</f>
        <v>0</v>
      </c>
      <c r="O171">
        <f>IF(SUMPRODUCT(('alle Dateien'!B:B=Bohrungen!B171)*('alle Dateien'!D:D="xls"))&gt;0,1,0)</f>
        <v>0</v>
      </c>
      <c r="P171">
        <f>IF(SUMPRODUCT(('alle Dateien'!B:B=Bohrungen!B171)*('alle Dateien'!D:D="txt"))&gt;0,1,0)</f>
        <v>0</v>
      </c>
      <c r="Q171">
        <f>IF(SUMPRODUCT(('alle Dateien'!B:B=Bohrungen!B171)*('alle Dateien'!D:D="ZIP oder R"))&gt;0,1,0)</f>
        <v>0</v>
      </c>
      <c r="R171">
        <f>IF(SUMPRODUCT(('alle Dateien'!B:B=Bohrungen!B171)*('alle Dateien'!D:D="tsf"))&gt;0,1,0)</f>
        <v>0</v>
      </c>
      <c r="S171">
        <f>IF(SUMPRODUCT(('alle Dateien'!B:B=Bohrungen!B171)*('alle Dateien'!D:D="sch"))&gt;0,1,0)</f>
        <v>0</v>
      </c>
      <c r="U171" t="str">
        <f t="shared" si="5"/>
        <v>10000000000000000</v>
      </c>
      <c r="V171" t="str">
        <f>VLOOKUP(U171,Kategorie!B:C,2,FALSE)</f>
        <v>pdf</v>
      </c>
    </row>
    <row r="172" spans="1:22" x14ac:dyDescent="0.25">
      <c r="A172">
        <v>171</v>
      </c>
      <c r="B172" t="s">
        <v>2252</v>
      </c>
      <c r="C172" s="2">
        <f>IF(SUMPRODUCT(('alle Dateien'!B:B=Bohrungen!B172)*('alle Dateien'!D:D="pdf"))&gt;0,1,0)</f>
        <v>1</v>
      </c>
      <c r="D172">
        <f>IF(SUMPRODUCT(('alle Dateien'!B:B=Bohrungen!B172)*('alle Dateien'!D:D="tif"))&gt;0,1,0)</f>
        <v>1</v>
      </c>
      <c r="E172">
        <f>IF(SUMPRODUCT(('alle Dateien'!B:B=Bohrungen!B172)*('alle Dateien'!D:D="sdg"))&gt;0,1,0)</f>
        <v>0</v>
      </c>
      <c r="F172">
        <f>IF(SUMPRODUCT(('alle Dateien'!B:B=Bohrungen!B172)*('alle Dateien'!D:D="xlsx"))&gt;0,1,0)</f>
        <v>0</v>
      </c>
      <c r="G172">
        <f>IF(SUMPRODUCT(('alle Dateien'!B:B=Bohrungen!B172)*('alle Dateien'!D:D="docx"))&gt;0,1,0)</f>
        <v>0</v>
      </c>
      <c r="H172">
        <f>IF(SUMPRODUCT(('alle Dateien'!B:B=Bohrungen!B172)*('alle Dateien'!D:D="las"))&gt;0,1,0)</f>
        <v>0</v>
      </c>
      <c r="I172">
        <f>IF(SUMPRODUCT(('alle Dateien'!B:B=Bohrungen!B172)*('alle Dateien'!D:D="db"))&gt;0,1,0)</f>
        <v>0</v>
      </c>
      <c r="J172">
        <f>IF(SUMPRODUCT(('alle Dateien'!B:B=Bohrungen!B172)*('alle Dateien'!D:D="rhistory"))&gt;0,1,0)</f>
        <v>0</v>
      </c>
      <c r="K172">
        <f>IF(SUMPRODUCT(('alle Dateien'!B:B=Bohrungen!B172)*('alle Dateien'!D:D="mdb"))&gt;0,1,0)</f>
        <v>0</v>
      </c>
      <c r="L172">
        <f>IF(SUMPRODUCT(('alle Dateien'!B:B=Bohrungen!B172)*('alle Dateien'!D:D="xml"))&gt;0,1,0)</f>
        <v>0</v>
      </c>
      <c r="M172">
        <f>IF(SUMPRODUCT(('alle Dateien'!B:B=Bohrungen!B172)*('alle Dateien'!D:D="jpg"))&gt;0,1,0)</f>
        <v>0</v>
      </c>
      <c r="N172">
        <f>IF(SUMPRODUCT(('alle Dateien'!B:B=Bohrungen!B172)*('alle Dateien'!D:D="png"))&gt;0,1,0)</f>
        <v>0</v>
      </c>
      <c r="O172">
        <f>IF(SUMPRODUCT(('alle Dateien'!B:B=Bohrungen!B172)*('alle Dateien'!D:D="xls"))&gt;0,1,0)</f>
        <v>0</v>
      </c>
      <c r="P172">
        <f>IF(SUMPRODUCT(('alle Dateien'!B:B=Bohrungen!B172)*('alle Dateien'!D:D="txt"))&gt;0,1,0)</f>
        <v>0</v>
      </c>
      <c r="Q172">
        <f>IF(SUMPRODUCT(('alle Dateien'!B:B=Bohrungen!B172)*('alle Dateien'!D:D="ZIP oder R"))&gt;0,1,0)</f>
        <v>0</v>
      </c>
      <c r="R172">
        <f>IF(SUMPRODUCT(('alle Dateien'!B:B=Bohrungen!B172)*('alle Dateien'!D:D="tsf"))&gt;0,1,0)</f>
        <v>0</v>
      </c>
      <c r="S172">
        <f>IF(SUMPRODUCT(('alle Dateien'!B:B=Bohrungen!B172)*('alle Dateien'!D:D="sch"))&gt;0,1,0)</f>
        <v>0</v>
      </c>
      <c r="U172" t="str">
        <f t="shared" si="5"/>
        <v>11000000000000000</v>
      </c>
      <c r="V172" t="str">
        <f>VLOOKUP(U172,Kategorie!B:C,2,FALSE)</f>
        <v>pdf/ tif</v>
      </c>
    </row>
    <row r="173" spans="1:22" x14ac:dyDescent="0.25">
      <c r="A173">
        <v>172</v>
      </c>
      <c r="B173" t="s">
        <v>2253</v>
      </c>
      <c r="C173" s="2">
        <f>IF(SUMPRODUCT(('alle Dateien'!B:B=Bohrungen!B173)*('alle Dateien'!D:D="pdf"))&gt;0,1,0)</f>
        <v>1</v>
      </c>
      <c r="D173">
        <f>IF(SUMPRODUCT(('alle Dateien'!B:B=Bohrungen!B173)*('alle Dateien'!D:D="tif"))&gt;0,1,0)</f>
        <v>1</v>
      </c>
      <c r="E173">
        <f>IF(SUMPRODUCT(('alle Dateien'!B:B=Bohrungen!B173)*('alle Dateien'!D:D="sdg"))&gt;0,1,0)</f>
        <v>1</v>
      </c>
      <c r="F173">
        <f>IF(SUMPRODUCT(('alle Dateien'!B:B=Bohrungen!B173)*('alle Dateien'!D:D="xlsx"))&gt;0,1,0)</f>
        <v>1</v>
      </c>
      <c r="G173">
        <f>IF(SUMPRODUCT(('alle Dateien'!B:B=Bohrungen!B173)*('alle Dateien'!D:D="docx"))&gt;0,1,0)</f>
        <v>1</v>
      </c>
      <c r="H173">
        <f>IF(SUMPRODUCT(('alle Dateien'!B:B=Bohrungen!B173)*('alle Dateien'!D:D="las"))&gt;0,1,0)</f>
        <v>1</v>
      </c>
      <c r="I173">
        <f>IF(SUMPRODUCT(('alle Dateien'!B:B=Bohrungen!B173)*('alle Dateien'!D:D="db"))&gt;0,1,0)</f>
        <v>0</v>
      </c>
      <c r="J173">
        <f>IF(SUMPRODUCT(('alle Dateien'!B:B=Bohrungen!B173)*('alle Dateien'!D:D="rhistory"))&gt;0,1,0)</f>
        <v>0</v>
      </c>
      <c r="K173">
        <f>IF(SUMPRODUCT(('alle Dateien'!B:B=Bohrungen!B173)*('alle Dateien'!D:D="mdb"))&gt;0,1,0)</f>
        <v>0</v>
      </c>
      <c r="L173">
        <f>IF(SUMPRODUCT(('alle Dateien'!B:B=Bohrungen!B173)*('alle Dateien'!D:D="xml"))&gt;0,1,0)</f>
        <v>0</v>
      </c>
      <c r="M173">
        <f>IF(SUMPRODUCT(('alle Dateien'!B:B=Bohrungen!B173)*('alle Dateien'!D:D="jpg"))&gt;0,1,0)</f>
        <v>0</v>
      </c>
      <c r="N173">
        <f>IF(SUMPRODUCT(('alle Dateien'!B:B=Bohrungen!B173)*('alle Dateien'!D:D="png"))&gt;0,1,0)</f>
        <v>1</v>
      </c>
      <c r="O173">
        <f>IF(SUMPRODUCT(('alle Dateien'!B:B=Bohrungen!B173)*('alle Dateien'!D:D="xls"))&gt;0,1,0)</f>
        <v>0</v>
      </c>
      <c r="P173">
        <f>IF(SUMPRODUCT(('alle Dateien'!B:B=Bohrungen!B173)*('alle Dateien'!D:D="txt"))&gt;0,1,0)</f>
        <v>0</v>
      </c>
      <c r="Q173">
        <f>IF(SUMPRODUCT(('alle Dateien'!B:B=Bohrungen!B173)*('alle Dateien'!D:D="ZIP oder R"))&gt;0,1,0)</f>
        <v>1</v>
      </c>
      <c r="R173">
        <f>IF(SUMPRODUCT(('alle Dateien'!B:B=Bohrungen!B173)*('alle Dateien'!D:D="tsf"))&gt;0,1,0)</f>
        <v>0</v>
      </c>
      <c r="S173">
        <f>IF(SUMPRODUCT(('alle Dateien'!B:B=Bohrungen!B173)*('alle Dateien'!D:D="sch"))&gt;0,1,0)</f>
        <v>0</v>
      </c>
      <c r="U173" t="str">
        <f t="shared" si="5"/>
        <v>11111100000100100</v>
      </c>
      <c r="V173" t="str">
        <f>VLOOKUP(U173,Kategorie!B:C,2,FALSE)</f>
        <v>pdf/ tif/ sdg/ xlsx/ docx/ las/ png/ Zip oder R</v>
      </c>
    </row>
    <row r="174" spans="1:22" x14ac:dyDescent="0.25">
      <c r="A174">
        <v>173</v>
      </c>
      <c r="B174" t="s">
        <v>2254</v>
      </c>
      <c r="C174" s="2">
        <f>IF(SUMPRODUCT(('alle Dateien'!B:B=Bohrungen!B174)*('alle Dateien'!D:D="pdf"))&gt;0,1,0)</f>
        <v>0</v>
      </c>
      <c r="D174">
        <f>IF(SUMPRODUCT(('alle Dateien'!B:B=Bohrungen!B174)*('alle Dateien'!D:D="tif"))&gt;0,1,0)</f>
        <v>0</v>
      </c>
      <c r="E174">
        <f>IF(SUMPRODUCT(('alle Dateien'!B:B=Bohrungen!B174)*('alle Dateien'!D:D="sdg"))&gt;0,1,0)</f>
        <v>1</v>
      </c>
      <c r="F174">
        <f>IF(SUMPRODUCT(('alle Dateien'!B:B=Bohrungen!B174)*('alle Dateien'!D:D="xlsx"))&gt;0,1,0)</f>
        <v>1</v>
      </c>
      <c r="G174">
        <f>IF(SUMPRODUCT(('alle Dateien'!B:B=Bohrungen!B174)*('alle Dateien'!D:D="docx"))&gt;0,1,0)</f>
        <v>0</v>
      </c>
      <c r="H174">
        <f>IF(SUMPRODUCT(('alle Dateien'!B:B=Bohrungen!B174)*('alle Dateien'!D:D="las"))&gt;0,1,0)</f>
        <v>1</v>
      </c>
      <c r="I174">
        <f>IF(SUMPRODUCT(('alle Dateien'!B:B=Bohrungen!B174)*('alle Dateien'!D:D="db"))&gt;0,1,0)</f>
        <v>0</v>
      </c>
      <c r="J174">
        <f>IF(SUMPRODUCT(('alle Dateien'!B:B=Bohrungen!B174)*('alle Dateien'!D:D="rhistory"))&gt;0,1,0)</f>
        <v>0</v>
      </c>
      <c r="K174">
        <f>IF(SUMPRODUCT(('alle Dateien'!B:B=Bohrungen!B174)*('alle Dateien'!D:D="mdb"))&gt;0,1,0)</f>
        <v>0</v>
      </c>
      <c r="L174">
        <f>IF(SUMPRODUCT(('alle Dateien'!B:B=Bohrungen!B174)*('alle Dateien'!D:D="xml"))&gt;0,1,0)</f>
        <v>0</v>
      </c>
      <c r="M174">
        <f>IF(SUMPRODUCT(('alle Dateien'!B:B=Bohrungen!B174)*('alle Dateien'!D:D="jpg"))&gt;0,1,0)</f>
        <v>0</v>
      </c>
      <c r="N174">
        <f>IF(SUMPRODUCT(('alle Dateien'!B:B=Bohrungen!B174)*('alle Dateien'!D:D="png"))&gt;0,1,0)</f>
        <v>0</v>
      </c>
      <c r="O174">
        <f>IF(SUMPRODUCT(('alle Dateien'!B:B=Bohrungen!B174)*('alle Dateien'!D:D="xls"))&gt;0,1,0)</f>
        <v>0</v>
      </c>
      <c r="P174">
        <f>IF(SUMPRODUCT(('alle Dateien'!B:B=Bohrungen!B174)*('alle Dateien'!D:D="txt"))&gt;0,1,0)</f>
        <v>0</v>
      </c>
      <c r="Q174">
        <f>IF(SUMPRODUCT(('alle Dateien'!B:B=Bohrungen!B174)*('alle Dateien'!D:D="ZIP oder R"))&gt;0,1,0)</f>
        <v>0</v>
      </c>
      <c r="R174">
        <f>IF(SUMPRODUCT(('alle Dateien'!B:B=Bohrungen!B174)*('alle Dateien'!D:D="tsf"))&gt;0,1,0)</f>
        <v>0</v>
      </c>
      <c r="S174">
        <f>IF(SUMPRODUCT(('alle Dateien'!B:B=Bohrungen!B174)*('alle Dateien'!D:D="sch"))&gt;0,1,0)</f>
        <v>0</v>
      </c>
      <c r="U174" t="str">
        <f t="shared" si="5"/>
        <v>00110100000000000</v>
      </c>
      <c r="V174" t="str">
        <f>VLOOKUP(U174,Kategorie!B:C,2,FALSE)</f>
        <v>sdg/ xlsx/ las</v>
      </c>
    </row>
    <row r="175" spans="1:22" x14ac:dyDescent="0.25">
      <c r="A175">
        <v>174</v>
      </c>
      <c r="B175" t="s">
        <v>2255</v>
      </c>
      <c r="C175" s="2">
        <f>IF(SUMPRODUCT(('alle Dateien'!B:B=Bohrungen!B175)*('alle Dateien'!D:D="pdf"))&gt;0,1,0)</f>
        <v>1</v>
      </c>
      <c r="D175">
        <f>IF(SUMPRODUCT(('alle Dateien'!B:B=Bohrungen!B175)*('alle Dateien'!D:D="tif"))&gt;0,1,0)</f>
        <v>0</v>
      </c>
      <c r="E175">
        <f>IF(SUMPRODUCT(('alle Dateien'!B:B=Bohrungen!B175)*('alle Dateien'!D:D="sdg"))&gt;0,1,0)</f>
        <v>0</v>
      </c>
      <c r="F175">
        <f>IF(SUMPRODUCT(('alle Dateien'!B:B=Bohrungen!B175)*('alle Dateien'!D:D="xlsx"))&gt;0,1,0)</f>
        <v>1</v>
      </c>
      <c r="G175">
        <f>IF(SUMPRODUCT(('alle Dateien'!B:B=Bohrungen!B175)*('alle Dateien'!D:D="docx"))&gt;0,1,0)</f>
        <v>0</v>
      </c>
      <c r="H175">
        <f>IF(SUMPRODUCT(('alle Dateien'!B:B=Bohrungen!B175)*('alle Dateien'!D:D="las"))&gt;0,1,0)</f>
        <v>0</v>
      </c>
      <c r="I175">
        <f>IF(SUMPRODUCT(('alle Dateien'!B:B=Bohrungen!B175)*('alle Dateien'!D:D="db"))&gt;0,1,0)</f>
        <v>0</v>
      </c>
      <c r="J175">
        <f>IF(SUMPRODUCT(('alle Dateien'!B:B=Bohrungen!B175)*('alle Dateien'!D:D="rhistory"))&gt;0,1,0)</f>
        <v>0</v>
      </c>
      <c r="K175">
        <f>IF(SUMPRODUCT(('alle Dateien'!B:B=Bohrungen!B175)*('alle Dateien'!D:D="mdb"))&gt;0,1,0)</f>
        <v>0</v>
      </c>
      <c r="L175">
        <f>IF(SUMPRODUCT(('alle Dateien'!B:B=Bohrungen!B175)*('alle Dateien'!D:D="xml"))&gt;0,1,0)</f>
        <v>0</v>
      </c>
      <c r="M175">
        <f>IF(SUMPRODUCT(('alle Dateien'!B:B=Bohrungen!B175)*('alle Dateien'!D:D="jpg"))&gt;0,1,0)</f>
        <v>1</v>
      </c>
      <c r="N175">
        <f>IF(SUMPRODUCT(('alle Dateien'!B:B=Bohrungen!B175)*('alle Dateien'!D:D="png"))&gt;0,1,0)</f>
        <v>0</v>
      </c>
      <c r="O175">
        <f>IF(SUMPRODUCT(('alle Dateien'!B:B=Bohrungen!B175)*('alle Dateien'!D:D="xls"))&gt;0,1,0)</f>
        <v>0</v>
      </c>
      <c r="P175">
        <f>IF(SUMPRODUCT(('alle Dateien'!B:B=Bohrungen!B175)*('alle Dateien'!D:D="txt"))&gt;0,1,0)</f>
        <v>0</v>
      </c>
      <c r="Q175">
        <f>IF(SUMPRODUCT(('alle Dateien'!B:B=Bohrungen!B175)*('alle Dateien'!D:D="ZIP oder R"))&gt;0,1,0)</f>
        <v>0</v>
      </c>
      <c r="R175">
        <f>IF(SUMPRODUCT(('alle Dateien'!B:B=Bohrungen!B175)*('alle Dateien'!D:D="tsf"))&gt;0,1,0)</f>
        <v>0</v>
      </c>
      <c r="S175">
        <f>IF(SUMPRODUCT(('alle Dateien'!B:B=Bohrungen!B175)*('alle Dateien'!D:D="sch"))&gt;0,1,0)</f>
        <v>0</v>
      </c>
      <c r="U175" t="str">
        <f t="shared" si="5"/>
        <v>10010000001000000</v>
      </c>
      <c r="V175" t="str">
        <f>VLOOKUP(U175,Kategorie!B:C,2,FALSE)</f>
        <v>pdf/ xlsx/ jpg</v>
      </c>
    </row>
    <row r="176" spans="1:22" x14ac:dyDescent="0.25">
      <c r="A176">
        <v>175</v>
      </c>
      <c r="B176" t="s">
        <v>2256</v>
      </c>
      <c r="C176" s="2">
        <f>IF(SUMPRODUCT(('alle Dateien'!B:B=Bohrungen!B176)*('alle Dateien'!D:D="pdf"))&gt;0,1,0)</f>
        <v>1</v>
      </c>
      <c r="D176">
        <f>IF(SUMPRODUCT(('alle Dateien'!B:B=Bohrungen!B176)*('alle Dateien'!D:D="tif"))&gt;0,1,0)</f>
        <v>0</v>
      </c>
      <c r="E176">
        <f>IF(SUMPRODUCT(('alle Dateien'!B:B=Bohrungen!B176)*('alle Dateien'!D:D="sdg"))&gt;0,1,0)</f>
        <v>0</v>
      </c>
      <c r="F176">
        <f>IF(SUMPRODUCT(('alle Dateien'!B:B=Bohrungen!B176)*('alle Dateien'!D:D="xlsx"))&gt;0,1,0)</f>
        <v>0</v>
      </c>
      <c r="G176">
        <f>IF(SUMPRODUCT(('alle Dateien'!B:B=Bohrungen!B176)*('alle Dateien'!D:D="docx"))&gt;0,1,0)</f>
        <v>0</v>
      </c>
      <c r="H176">
        <f>IF(SUMPRODUCT(('alle Dateien'!B:B=Bohrungen!B176)*('alle Dateien'!D:D="las"))&gt;0,1,0)</f>
        <v>0</v>
      </c>
      <c r="I176">
        <f>IF(SUMPRODUCT(('alle Dateien'!B:B=Bohrungen!B176)*('alle Dateien'!D:D="db"))&gt;0,1,0)</f>
        <v>0</v>
      </c>
      <c r="J176">
        <f>IF(SUMPRODUCT(('alle Dateien'!B:B=Bohrungen!B176)*('alle Dateien'!D:D="rhistory"))&gt;0,1,0)</f>
        <v>0</v>
      </c>
      <c r="K176">
        <f>IF(SUMPRODUCT(('alle Dateien'!B:B=Bohrungen!B176)*('alle Dateien'!D:D="mdb"))&gt;0,1,0)</f>
        <v>0</v>
      </c>
      <c r="L176">
        <f>IF(SUMPRODUCT(('alle Dateien'!B:B=Bohrungen!B176)*('alle Dateien'!D:D="xml"))&gt;0,1,0)</f>
        <v>0</v>
      </c>
      <c r="M176">
        <f>IF(SUMPRODUCT(('alle Dateien'!B:B=Bohrungen!B176)*('alle Dateien'!D:D="jpg"))&gt;0,1,0)</f>
        <v>1</v>
      </c>
      <c r="N176">
        <f>IF(SUMPRODUCT(('alle Dateien'!B:B=Bohrungen!B176)*('alle Dateien'!D:D="png"))&gt;0,1,0)</f>
        <v>0</v>
      </c>
      <c r="O176">
        <f>IF(SUMPRODUCT(('alle Dateien'!B:B=Bohrungen!B176)*('alle Dateien'!D:D="xls"))&gt;0,1,0)</f>
        <v>0</v>
      </c>
      <c r="P176">
        <f>IF(SUMPRODUCT(('alle Dateien'!B:B=Bohrungen!B176)*('alle Dateien'!D:D="txt"))&gt;0,1,0)</f>
        <v>0</v>
      </c>
      <c r="Q176">
        <f>IF(SUMPRODUCT(('alle Dateien'!B:B=Bohrungen!B176)*('alle Dateien'!D:D="ZIP oder R"))&gt;0,1,0)</f>
        <v>0</v>
      </c>
      <c r="R176">
        <f>IF(SUMPRODUCT(('alle Dateien'!B:B=Bohrungen!B176)*('alle Dateien'!D:D="tsf"))&gt;0,1,0)</f>
        <v>0</v>
      </c>
      <c r="S176">
        <f>IF(SUMPRODUCT(('alle Dateien'!B:B=Bohrungen!B176)*('alle Dateien'!D:D="sch"))&gt;0,1,0)</f>
        <v>0</v>
      </c>
      <c r="U176" t="str">
        <f t="shared" si="5"/>
        <v>10000000001000000</v>
      </c>
      <c r="V176" t="str">
        <f>VLOOKUP(U176,Kategorie!B:C,2,FALSE)</f>
        <v>pdf/ jpg</v>
      </c>
    </row>
    <row r="177" spans="1:22" x14ac:dyDescent="0.25">
      <c r="A177">
        <v>176</v>
      </c>
      <c r="B177" t="s">
        <v>2272</v>
      </c>
      <c r="C177" s="2">
        <f>IF(SUMPRODUCT(('alle Dateien'!B:B=Bohrungen!B177)*('alle Dateien'!D:D="pdf"))&gt;0,1,0)</f>
        <v>1</v>
      </c>
      <c r="D177">
        <f>IF(SUMPRODUCT(('alle Dateien'!B:B=Bohrungen!B177)*('alle Dateien'!D:D="tif"))&gt;0,1,0)</f>
        <v>0</v>
      </c>
      <c r="E177">
        <f>IF(SUMPRODUCT(('alle Dateien'!B:B=Bohrungen!B177)*('alle Dateien'!D:D="sdg"))&gt;0,1,0)</f>
        <v>1</v>
      </c>
      <c r="F177">
        <f>IF(SUMPRODUCT(('alle Dateien'!B:B=Bohrungen!B177)*('alle Dateien'!D:D="xlsx"))&gt;0,1,0)</f>
        <v>1</v>
      </c>
      <c r="G177">
        <f>IF(SUMPRODUCT(('alle Dateien'!B:B=Bohrungen!B177)*('alle Dateien'!D:D="docx"))&gt;0,1,0)</f>
        <v>0</v>
      </c>
      <c r="H177">
        <f>IF(SUMPRODUCT(('alle Dateien'!B:B=Bohrungen!B177)*('alle Dateien'!D:D="las"))&gt;0,1,0)</f>
        <v>1</v>
      </c>
      <c r="I177">
        <f>IF(SUMPRODUCT(('alle Dateien'!B:B=Bohrungen!B177)*('alle Dateien'!D:D="db"))&gt;0,1,0)</f>
        <v>0</v>
      </c>
      <c r="J177">
        <f>IF(SUMPRODUCT(('alle Dateien'!B:B=Bohrungen!B177)*('alle Dateien'!D:D="rhistory"))&gt;0,1,0)</f>
        <v>1</v>
      </c>
      <c r="K177">
        <f>IF(SUMPRODUCT(('alle Dateien'!B:B=Bohrungen!B177)*('alle Dateien'!D:D="mdb"))&gt;0,1,0)</f>
        <v>0</v>
      </c>
      <c r="L177">
        <f>IF(SUMPRODUCT(('alle Dateien'!B:B=Bohrungen!B177)*('alle Dateien'!D:D="xml"))&gt;0,1,0)</f>
        <v>0</v>
      </c>
      <c r="M177">
        <f>IF(SUMPRODUCT(('alle Dateien'!B:B=Bohrungen!B177)*('alle Dateien'!D:D="jpg"))&gt;0,1,0)</f>
        <v>1</v>
      </c>
      <c r="N177">
        <f>IF(SUMPRODUCT(('alle Dateien'!B:B=Bohrungen!B177)*('alle Dateien'!D:D="png"))&gt;0,1,0)</f>
        <v>0</v>
      </c>
      <c r="O177">
        <f>IF(SUMPRODUCT(('alle Dateien'!B:B=Bohrungen!B177)*('alle Dateien'!D:D="xls"))&gt;0,1,0)</f>
        <v>0</v>
      </c>
      <c r="P177">
        <f>IF(SUMPRODUCT(('alle Dateien'!B:B=Bohrungen!B177)*('alle Dateien'!D:D="txt"))&gt;0,1,0)</f>
        <v>1</v>
      </c>
      <c r="Q177">
        <f>IF(SUMPRODUCT(('alle Dateien'!B:B=Bohrungen!B177)*('alle Dateien'!D:D="ZIP oder R"))&gt;0,1,0)</f>
        <v>1</v>
      </c>
      <c r="R177">
        <f>IF(SUMPRODUCT(('alle Dateien'!B:B=Bohrungen!B177)*('alle Dateien'!D:D="tsf"))&gt;0,1,0)</f>
        <v>0</v>
      </c>
      <c r="S177">
        <f>IF(SUMPRODUCT(('alle Dateien'!B:B=Bohrungen!B177)*('alle Dateien'!D:D="sch"))&gt;0,1,0)</f>
        <v>0</v>
      </c>
      <c r="U177" t="str">
        <f t="shared" si="5"/>
        <v>10110101001001100</v>
      </c>
      <c r="V177" t="str">
        <f>VLOOKUP(U177,Kategorie!B:C,2,FALSE)</f>
        <v>pdf/ sdg/ xlsx/ las/ rhistory/ jpg/ txt/ ZIP oder R</v>
      </c>
    </row>
    <row r="178" spans="1:22" x14ac:dyDescent="0.25">
      <c r="A178">
        <v>177</v>
      </c>
      <c r="B178" t="s">
        <v>2257</v>
      </c>
      <c r="C178" s="2">
        <f>IF(SUMPRODUCT(('alle Dateien'!B:B=Bohrungen!B178)*('alle Dateien'!D:D="pdf"))&gt;0,1,0)</f>
        <v>1</v>
      </c>
      <c r="D178">
        <f>IF(SUMPRODUCT(('alle Dateien'!B:B=Bohrungen!B178)*('alle Dateien'!D:D="tif"))&gt;0,1,0)</f>
        <v>0</v>
      </c>
      <c r="E178">
        <f>IF(SUMPRODUCT(('alle Dateien'!B:B=Bohrungen!B178)*('alle Dateien'!D:D="sdg"))&gt;0,1,0)</f>
        <v>1</v>
      </c>
      <c r="F178">
        <f>IF(SUMPRODUCT(('alle Dateien'!B:B=Bohrungen!B178)*('alle Dateien'!D:D="xlsx"))&gt;0,1,0)</f>
        <v>1</v>
      </c>
      <c r="G178">
        <f>IF(SUMPRODUCT(('alle Dateien'!B:B=Bohrungen!B178)*('alle Dateien'!D:D="docx"))&gt;0,1,0)</f>
        <v>0</v>
      </c>
      <c r="H178">
        <f>IF(SUMPRODUCT(('alle Dateien'!B:B=Bohrungen!B178)*('alle Dateien'!D:D="las"))&gt;0,1,0)</f>
        <v>1</v>
      </c>
      <c r="I178">
        <f>IF(SUMPRODUCT(('alle Dateien'!B:B=Bohrungen!B178)*('alle Dateien'!D:D="db"))&gt;0,1,0)</f>
        <v>0</v>
      </c>
      <c r="J178">
        <f>IF(SUMPRODUCT(('alle Dateien'!B:B=Bohrungen!B178)*('alle Dateien'!D:D="rhistory"))&gt;0,1,0)</f>
        <v>0</v>
      </c>
      <c r="K178">
        <f>IF(SUMPRODUCT(('alle Dateien'!B:B=Bohrungen!B178)*('alle Dateien'!D:D="mdb"))&gt;0,1,0)</f>
        <v>0</v>
      </c>
      <c r="L178">
        <f>IF(SUMPRODUCT(('alle Dateien'!B:B=Bohrungen!B178)*('alle Dateien'!D:D="xml"))&gt;0,1,0)</f>
        <v>0</v>
      </c>
      <c r="M178">
        <f>IF(SUMPRODUCT(('alle Dateien'!B:B=Bohrungen!B178)*('alle Dateien'!D:D="jpg"))&gt;0,1,0)</f>
        <v>0</v>
      </c>
      <c r="N178">
        <f>IF(SUMPRODUCT(('alle Dateien'!B:B=Bohrungen!B178)*('alle Dateien'!D:D="png"))&gt;0,1,0)</f>
        <v>0</v>
      </c>
      <c r="O178">
        <f>IF(SUMPRODUCT(('alle Dateien'!B:B=Bohrungen!B178)*('alle Dateien'!D:D="xls"))&gt;0,1,0)</f>
        <v>0</v>
      </c>
      <c r="P178">
        <f>IF(SUMPRODUCT(('alle Dateien'!B:B=Bohrungen!B178)*('alle Dateien'!D:D="txt"))&gt;0,1,0)</f>
        <v>0</v>
      </c>
      <c r="Q178">
        <f>IF(SUMPRODUCT(('alle Dateien'!B:B=Bohrungen!B178)*('alle Dateien'!D:D="ZIP oder R"))&gt;0,1,0)</f>
        <v>0</v>
      </c>
      <c r="R178">
        <f>IF(SUMPRODUCT(('alle Dateien'!B:B=Bohrungen!B178)*('alle Dateien'!D:D="tsf"))&gt;0,1,0)</f>
        <v>0</v>
      </c>
      <c r="S178">
        <f>IF(SUMPRODUCT(('alle Dateien'!B:B=Bohrungen!B178)*('alle Dateien'!D:D="sch"))&gt;0,1,0)</f>
        <v>0</v>
      </c>
      <c r="U178" t="str">
        <f t="shared" si="5"/>
        <v>10110100000000000</v>
      </c>
      <c r="V178" t="str">
        <f>VLOOKUP(U178,Kategorie!B:C,2,FALSE)</f>
        <v>pdf/ sdg/ xlsx/ las</v>
      </c>
    </row>
    <row r="179" spans="1:22" x14ac:dyDescent="0.25">
      <c r="A179">
        <v>178</v>
      </c>
      <c r="B179" t="s">
        <v>2258</v>
      </c>
      <c r="C179" s="2">
        <f>IF(SUMPRODUCT(('alle Dateien'!B:B=Bohrungen!B179)*('alle Dateien'!D:D="pdf"))&gt;0,1,0)</f>
        <v>1</v>
      </c>
      <c r="D179">
        <f>IF(SUMPRODUCT(('alle Dateien'!B:B=Bohrungen!B179)*('alle Dateien'!D:D="tif"))&gt;0,1,0)</f>
        <v>0</v>
      </c>
      <c r="E179">
        <f>IF(SUMPRODUCT(('alle Dateien'!B:B=Bohrungen!B179)*('alle Dateien'!D:D="sdg"))&gt;0,1,0)</f>
        <v>0</v>
      </c>
      <c r="F179">
        <f>IF(SUMPRODUCT(('alle Dateien'!B:B=Bohrungen!B179)*('alle Dateien'!D:D="xlsx"))&gt;0,1,0)</f>
        <v>0</v>
      </c>
      <c r="G179">
        <f>IF(SUMPRODUCT(('alle Dateien'!B:B=Bohrungen!B179)*('alle Dateien'!D:D="docx"))&gt;0,1,0)</f>
        <v>0</v>
      </c>
      <c r="H179">
        <f>IF(SUMPRODUCT(('alle Dateien'!B:B=Bohrungen!B179)*('alle Dateien'!D:D="las"))&gt;0,1,0)</f>
        <v>0</v>
      </c>
      <c r="I179">
        <f>IF(SUMPRODUCT(('alle Dateien'!B:B=Bohrungen!B179)*('alle Dateien'!D:D="db"))&gt;0,1,0)</f>
        <v>0</v>
      </c>
      <c r="J179">
        <f>IF(SUMPRODUCT(('alle Dateien'!B:B=Bohrungen!B179)*('alle Dateien'!D:D="rhistory"))&gt;0,1,0)</f>
        <v>0</v>
      </c>
      <c r="K179">
        <f>IF(SUMPRODUCT(('alle Dateien'!B:B=Bohrungen!B179)*('alle Dateien'!D:D="mdb"))&gt;0,1,0)</f>
        <v>0</v>
      </c>
      <c r="L179">
        <f>IF(SUMPRODUCT(('alle Dateien'!B:B=Bohrungen!B179)*('alle Dateien'!D:D="xml"))&gt;0,1,0)</f>
        <v>0</v>
      </c>
      <c r="M179">
        <f>IF(SUMPRODUCT(('alle Dateien'!B:B=Bohrungen!B179)*('alle Dateien'!D:D="jpg"))&gt;0,1,0)</f>
        <v>0</v>
      </c>
      <c r="N179">
        <f>IF(SUMPRODUCT(('alle Dateien'!B:B=Bohrungen!B179)*('alle Dateien'!D:D="png"))&gt;0,1,0)</f>
        <v>0</v>
      </c>
      <c r="O179">
        <f>IF(SUMPRODUCT(('alle Dateien'!B:B=Bohrungen!B179)*('alle Dateien'!D:D="xls"))&gt;0,1,0)</f>
        <v>0</v>
      </c>
      <c r="P179">
        <f>IF(SUMPRODUCT(('alle Dateien'!B:B=Bohrungen!B179)*('alle Dateien'!D:D="txt"))&gt;0,1,0)</f>
        <v>0</v>
      </c>
      <c r="Q179">
        <f>IF(SUMPRODUCT(('alle Dateien'!B:B=Bohrungen!B179)*('alle Dateien'!D:D="ZIP oder R"))&gt;0,1,0)</f>
        <v>0</v>
      </c>
      <c r="R179">
        <f>IF(SUMPRODUCT(('alle Dateien'!B:B=Bohrungen!B179)*('alle Dateien'!D:D="tsf"))&gt;0,1,0)</f>
        <v>0</v>
      </c>
      <c r="S179">
        <f>IF(SUMPRODUCT(('alle Dateien'!B:B=Bohrungen!B179)*('alle Dateien'!D:D="sch"))&gt;0,1,0)</f>
        <v>0</v>
      </c>
      <c r="U179" t="str">
        <f t="shared" si="5"/>
        <v>10000000000000000</v>
      </c>
      <c r="V179" t="str">
        <f>VLOOKUP(U179,Kategorie!B:C,2,FALSE)</f>
        <v>pdf</v>
      </c>
    </row>
    <row r="180" spans="1:22" x14ac:dyDescent="0.25">
      <c r="A180">
        <v>179</v>
      </c>
      <c r="B180" t="s">
        <v>2259</v>
      </c>
      <c r="C180" s="2">
        <f>IF(SUMPRODUCT(('alle Dateien'!B:B=Bohrungen!B180)*('alle Dateien'!D:D="pdf"))&gt;0,1,0)</f>
        <v>1</v>
      </c>
      <c r="D180">
        <f>IF(SUMPRODUCT(('alle Dateien'!B:B=Bohrungen!B180)*('alle Dateien'!D:D="tif"))&gt;0,1,0)</f>
        <v>0</v>
      </c>
      <c r="E180">
        <f>IF(SUMPRODUCT(('alle Dateien'!B:B=Bohrungen!B180)*('alle Dateien'!D:D="sdg"))&gt;0,1,0)</f>
        <v>0</v>
      </c>
      <c r="F180">
        <f>IF(SUMPRODUCT(('alle Dateien'!B:B=Bohrungen!B180)*('alle Dateien'!D:D="xlsx"))&gt;0,1,0)</f>
        <v>0</v>
      </c>
      <c r="G180">
        <f>IF(SUMPRODUCT(('alle Dateien'!B:B=Bohrungen!B180)*('alle Dateien'!D:D="docx"))&gt;0,1,0)</f>
        <v>0</v>
      </c>
      <c r="H180">
        <f>IF(SUMPRODUCT(('alle Dateien'!B:B=Bohrungen!B180)*('alle Dateien'!D:D="las"))&gt;0,1,0)</f>
        <v>0</v>
      </c>
      <c r="I180">
        <f>IF(SUMPRODUCT(('alle Dateien'!B:B=Bohrungen!B180)*('alle Dateien'!D:D="db"))&gt;0,1,0)</f>
        <v>0</v>
      </c>
      <c r="J180">
        <f>IF(SUMPRODUCT(('alle Dateien'!B:B=Bohrungen!B180)*('alle Dateien'!D:D="rhistory"))&gt;0,1,0)</f>
        <v>0</v>
      </c>
      <c r="K180">
        <f>IF(SUMPRODUCT(('alle Dateien'!B:B=Bohrungen!B180)*('alle Dateien'!D:D="mdb"))&gt;0,1,0)</f>
        <v>0</v>
      </c>
      <c r="L180">
        <f>IF(SUMPRODUCT(('alle Dateien'!B:B=Bohrungen!B180)*('alle Dateien'!D:D="xml"))&gt;0,1,0)</f>
        <v>0</v>
      </c>
      <c r="M180">
        <f>IF(SUMPRODUCT(('alle Dateien'!B:B=Bohrungen!B180)*('alle Dateien'!D:D="jpg"))&gt;0,1,0)</f>
        <v>0</v>
      </c>
      <c r="N180">
        <f>IF(SUMPRODUCT(('alle Dateien'!B:B=Bohrungen!B180)*('alle Dateien'!D:D="png"))&gt;0,1,0)</f>
        <v>0</v>
      </c>
      <c r="O180">
        <f>IF(SUMPRODUCT(('alle Dateien'!B:B=Bohrungen!B180)*('alle Dateien'!D:D="xls"))&gt;0,1,0)</f>
        <v>0</v>
      </c>
      <c r="P180">
        <f>IF(SUMPRODUCT(('alle Dateien'!B:B=Bohrungen!B180)*('alle Dateien'!D:D="txt"))&gt;0,1,0)</f>
        <v>0</v>
      </c>
      <c r="Q180">
        <f>IF(SUMPRODUCT(('alle Dateien'!B:B=Bohrungen!B180)*('alle Dateien'!D:D="ZIP oder R"))&gt;0,1,0)</f>
        <v>0</v>
      </c>
      <c r="R180">
        <f>IF(SUMPRODUCT(('alle Dateien'!B:B=Bohrungen!B180)*('alle Dateien'!D:D="tsf"))&gt;0,1,0)</f>
        <v>0</v>
      </c>
      <c r="S180">
        <f>IF(SUMPRODUCT(('alle Dateien'!B:B=Bohrungen!B180)*('alle Dateien'!D:D="sch"))&gt;0,1,0)</f>
        <v>0</v>
      </c>
      <c r="U180" t="str">
        <f t="shared" si="5"/>
        <v>10000000000000000</v>
      </c>
      <c r="V180" t="str">
        <f>VLOOKUP(U180,Kategorie!B:C,2,FALSE)</f>
        <v>pdf</v>
      </c>
    </row>
    <row r="181" spans="1:22" x14ac:dyDescent="0.25">
      <c r="A181">
        <v>180</v>
      </c>
      <c r="B181" t="s">
        <v>2260</v>
      </c>
      <c r="C181" s="2">
        <f>IF(SUMPRODUCT(('alle Dateien'!B:B=Bohrungen!B181)*('alle Dateien'!D:D="pdf"))&gt;0,1,0)</f>
        <v>0</v>
      </c>
      <c r="D181">
        <f>IF(SUMPRODUCT(('alle Dateien'!B:B=Bohrungen!B181)*('alle Dateien'!D:D="tif"))&gt;0,1,0)</f>
        <v>0</v>
      </c>
      <c r="E181">
        <f>IF(SUMPRODUCT(('alle Dateien'!B:B=Bohrungen!B181)*('alle Dateien'!D:D="sdg"))&gt;0,1,0)</f>
        <v>1</v>
      </c>
      <c r="F181">
        <f>IF(SUMPRODUCT(('alle Dateien'!B:B=Bohrungen!B181)*('alle Dateien'!D:D="xlsx"))&gt;0,1,0)</f>
        <v>1</v>
      </c>
      <c r="G181">
        <f>IF(SUMPRODUCT(('alle Dateien'!B:B=Bohrungen!B181)*('alle Dateien'!D:D="docx"))&gt;0,1,0)</f>
        <v>0</v>
      </c>
      <c r="H181">
        <f>IF(SUMPRODUCT(('alle Dateien'!B:B=Bohrungen!B181)*('alle Dateien'!D:D="las"))&gt;0,1,0)</f>
        <v>1</v>
      </c>
      <c r="I181">
        <f>IF(SUMPRODUCT(('alle Dateien'!B:B=Bohrungen!B181)*('alle Dateien'!D:D="db"))&gt;0,1,0)</f>
        <v>0</v>
      </c>
      <c r="J181">
        <f>IF(SUMPRODUCT(('alle Dateien'!B:B=Bohrungen!B181)*('alle Dateien'!D:D="rhistory"))&gt;0,1,0)</f>
        <v>0</v>
      </c>
      <c r="K181">
        <f>IF(SUMPRODUCT(('alle Dateien'!B:B=Bohrungen!B181)*('alle Dateien'!D:D="mdb"))&gt;0,1,0)</f>
        <v>0</v>
      </c>
      <c r="L181">
        <f>IF(SUMPRODUCT(('alle Dateien'!B:B=Bohrungen!B181)*('alle Dateien'!D:D="xml"))&gt;0,1,0)</f>
        <v>0</v>
      </c>
      <c r="M181">
        <f>IF(SUMPRODUCT(('alle Dateien'!B:B=Bohrungen!B181)*('alle Dateien'!D:D="jpg"))&gt;0,1,0)</f>
        <v>0</v>
      </c>
      <c r="N181">
        <f>IF(SUMPRODUCT(('alle Dateien'!B:B=Bohrungen!B181)*('alle Dateien'!D:D="png"))&gt;0,1,0)</f>
        <v>0</v>
      </c>
      <c r="O181">
        <f>IF(SUMPRODUCT(('alle Dateien'!B:B=Bohrungen!B181)*('alle Dateien'!D:D="xls"))&gt;0,1,0)</f>
        <v>0</v>
      </c>
      <c r="P181">
        <f>IF(SUMPRODUCT(('alle Dateien'!B:B=Bohrungen!B181)*('alle Dateien'!D:D="txt"))&gt;0,1,0)</f>
        <v>0</v>
      </c>
      <c r="Q181">
        <f>IF(SUMPRODUCT(('alle Dateien'!B:B=Bohrungen!B181)*('alle Dateien'!D:D="ZIP oder R"))&gt;0,1,0)</f>
        <v>0</v>
      </c>
      <c r="R181">
        <f>IF(SUMPRODUCT(('alle Dateien'!B:B=Bohrungen!B181)*('alle Dateien'!D:D="tsf"))&gt;0,1,0)</f>
        <v>0</v>
      </c>
      <c r="S181">
        <f>IF(SUMPRODUCT(('alle Dateien'!B:B=Bohrungen!B181)*('alle Dateien'!D:D="sch"))&gt;0,1,0)</f>
        <v>0</v>
      </c>
      <c r="U181" t="str">
        <f t="shared" si="5"/>
        <v>00110100000000000</v>
      </c>
      <c r="V181" t="str">
        <f>VLOOKUP(U181,Kategorie!B:C,2,FALSE)</f>
        <v>sdg/ xlsx/ las</v>
      </c>
    </row>
    <row r="182" spans="1:22" x14ac:dyDescent="0.25">
      <c r="A182">
        <v>181</v>
      </c>
      <c r="B182" t="s">
        <v>2262</v>
      </c>
      <c r="C182" s="2">
        <f>IF(SUMPRODUCT(('alle Dateien'!B:B=Bohrungen!B182)*('alle Dateien'!D:D="pdf"))&gt;0,1,0)</f>
        <v>1</v>
      </c>
      <c r="D182">
        <f>IF(SUMPRODUCT(('alle Dateien'!B:B=Bohrungen!B182)*('alle Dateien'!D:D="tif"))&gt;0,1,0)</f>
        <v>0</v>
      </c>
      <c r="E182">
        <f>IF(SUMPRODUCT(('alle Dateien'!B:B=Bohrungen!B182)*('alle Dateien'!D:D="sdg"))&gt;0,1,0)</f>
        <v>0</v>
      </c>
      <c r="F182">
        <f>IF(SUMPRODUCT(('alle Dateien'!B:B=Bohrungen!B182)*('alle Dateien'!D:D="xlsx"))&gt;0,1,0)</f>
        <v>0</v>
      </c>
      <c r="G182">
        <f>IF(SUMPRODUCT(('alle Dateien'!B:B=Bohrungen!B182)*('alle Dateien'!D:D="docx"))&gt;0,1,0)</f>
        <v>0</v>
      </c>
      <c r="H182">
        <f>IF(SUMPRODUCT(('alle Dateien'!B:B=Bohrungen!B182)*('alle Dateien'!D:D="las"))&gt;0,1,0)</f>
        <v>0</v>
      </c>
      <c r="I182">
        <f>IF(SUMPRODUCT(('alle Dateien'!B:B=Bohrungen!B182)*('alle Dateien'!D:D="db"))&gt;0,1,0)</f>
        <v>0</v>
      </c>
      <c r="J182">
        <f>IF(SUMPRODUCT(('alle Dateien'!B:B=Bohrungen!B182)*('alle Dateien'!D:D="rhistory"))&gt;0,1,0)</f>
        <v>0</v>
      </c>
      <c r="K182">
        <f>IF(SUMPRODUCT(('alle Dateien'!B:B=Bohrungen!B182)*('alle Dateien'!D:D="mdb"))&gt;0,1,0)</f>
        <v>0</v>
      </c>
      <c r="L182">
        <f>IF(SUMPRODUCT(('alle Dateien'!B:B=Bohrungen!B182)*('alle Dateien'!D:D="xml"))&gt;0,1,0)</f>
        <v>0</v>
      </c>
      <c r="M182">
        <f>IF(SUMPRODUCT(('alle Dateien'!B:B=Bohrungen!B182)*('alle Dateien'!D:D="jpg"))&gt;0,1,0)</f>
        <v>0</v>
      </c>
      <c r="N182">
        <f>IF(SUMPRODUCT(('alle Dateien'!B:B=Bohrungen!B182)*('alle Dateien'!D:D="png"))&gt;0,1,0)</f>
        <v>0</v>
      </c>
      <c r="O182">
        <f>IF(SUMPRODUCT(('alle Dateien'!B:B=Bohrungen!B182)*('alle Dateien'!D:D="xls"))&gt;0,1,0)</f>
        <v>0</v>
      </c>
      <c r="P182">
        <f>IF(SUMPRODUCT(('alle Dateien'!B:B=Bohrungen!B182)*('alle Dateien'!D:D="txt"))&gt;0,1,0)</f>
        <v>0</v>
      </c>
      <c r="Q182">
        <f>IF(SUMPRODUCT(('alle Dateien'!B:B=Bohrungen!B182)*('alle Dateien'!D:D="ZIP oder R"))&gt;0,1,0)</f>
        <v>0</v>
      </c>
      <c r="R182">
        <f>IF(SUMPRODUCT(('alle Dateien'!B:B=Bohrungen!B182)*('alle Dateien'!D:D="tsf"))&gt;0,1,0)</f>
        <v>0</v>
      </c>
      <c r="S182">
        <f>IF(SUMPRODUCT(('alle Dateien'!B:B=Bohrungen!B182)*('alle Dateien'!D:D="sch"))&gt;0,1,0)</f>
        <v>0</v>
      </c>
      <c r="U182" t="str">
        <f t="shared" si="5"/>
        <v>10000000000000000</v>
      </c>
      <c r="V182" t="str">
        <f>VLOOKUP(U182,Kategorie!B:C,2,FALSE)</f>
        <v>pdf</v>
      </c>
    </row>
    <row r="183" spans="1:22" x14ac:dyDescent="0.25">
      <c r="A183">
        <v>182</v>
      </c>
      <c r="B183" t="s">
        <v>2263</v>
      </c>
      <c r="C183" s="2">
        <f>IF(SUMPRODUCT(('alle Dateien'!B:B=Bohrungen!B183)*('alle Dateien'!D:D="pdf"))&gt;0,1,0)</f>
        <v>1</v>
      </c>
      <c r="D183">
        <f>IF(SUMPRODUCT(('alle Dateien'!B:B=Bohrungen!B183)*('alle Dateien'!D:D="tif"))&gt;0,1,0)</f>
        <v>0</v>
      </c>
      <c r="E183">
        <f>IF(SUMPRODUCT(('alle Dateien'!B:B=Bohrungen!B183)*('alle Dateien'!D:D="sdg"))&gt;0,1,0)</f>
        <v>1</v>
      </c>
      <c r="F183">
        <f>IF(SUMPRODUCT(('alle Dateien'!B:B=Bohrungen!B183)*('alle Dateien'!D:D="xlsx"))&gt;0,1,0)</f>
        <v>1</v>
      </c>
      <c r="G183">
        <f>IF(SUMPRODUCT(('alle Dateien'!B:B=Bohrungen!B183)*('alle Dateien'!D:D="docx"))&gt;0,1,0)</f>
        <v>0</v>
      </c>
      <c r="H183">
        <f>IF(SUMPRODUCT(('alle Dateien'!B:B=Bohrungen!B183)*('alle Dateien'!D:D="las"))&gt;0,1,0)</f>
        <v>1</v>
      </c>
      <c r="I183">
        <f>IF(SUMPRODUCT(('alle Dateien'!B:B=Bohrungen!B183)*('alle Dateien'!D:D="db"))&gt;0,1,0)</f>
        <v>0</v>
      </c>
      <c r="J183">
        <f>IF(SUMPRODUCT(('alle Dateien'!B:B=Bohrungen!B183)*('alle Dateien'!D:D="rhistory"))&gt;0,1,0)</f>
        <v>0</v>
      </c>
      <c r="K183">
        <f>IF(SUMPRODUCT(('alle Dateien'!B:B=Bohrungen!B183)*('alle Dateien'!D:D="mdb"))&gt;0,1,0)</f>
        <v>0</v>
      </c>
      <c r="L183">
        <f>IF(SUMPRODUCT(('alle Dateien'!B:B=Bohrungen!B183)*('alle Dateien'!D:D="xml"))&gt;0,1,0)</f>
        <v>0</v>
      </c>
      <c r="M183">
        <f>IF(SUMPRODUCT(('alle Dateien'!B:B=Bohrungen!B183)*('alle Dateien'!D:D="jpg"))&gt;0,1,0)</f>
        <v>0</v>
      </c>
      <c r="N183">
        <f>IF(SUMPRODUCT(('alle Dateien'!B:B=Bohrungen!B183)*('alle Dateien'!D:D="png"))&gt;0,1,0)</f>
        <v>0</v>
      </c>
      <c r="O183">
        <f>IF(SUMPRODUCT(('alle Dateien'!B:B=Bohrungen!B183)*('alle Dateien'!D:D="xls"))&gt;0,1,0)</f>
        <v>0</v>
      </c>
      <c r="P183">
        <f>IF(SUMPRODUCT(('alle Dateien'!B:B=Bohrungen!B183)*('alle Dateien'!D:D="txt"))&gt;0,1,0)</f>
        <v>0</v>
      </c>
      <c r="Q183">
        <f>IF(SUMPRODUCT(('alle Dateien'!B:B=Bohrungen!B183)*('alle Dateien'!D:D="ZIP oder R"))&gt;0,1,0)</f>
        <v>0</v>
      </c>
      <c r="R183">
        <f>IF(SUMPRODUCT(('alle Dateien'!B:B=Bohrungen!B183)*('alle Dateien'!D:D="tsf"))&gt;0,1,0)</f>
        <v>0</v>
      </c>
      <c r="S183">
        <f>IF(SUMPRODUCT(('alle Dateien'!B:B=Bohrungen!B183)*('alle Dateien'!D:D="sch"))&gt;0,1,0)</f>
        <v>0</v>
      </c>
      <c r="U183" t="str">
        <f t="shared" si="5"/>
        <v>10110100000000000</v>
      </c>
      <c r="V183" t="str">
        <f>VLOOKUP(U183,Kategorie!B:C,2,FALSE)</f>
        <v>pdf/ sdg/ xlsx/ las</v>
      </c>
    </row>
    <row r="184" spans="1:22" x14ac:dyDescent="0.25">
      <c r="A184">
        <v>183</v>
      </c>
      <c r="B184" t="s">
        <v>2264</v>
      </c>
      <c r="C184" s="2">
        <f>IF(SUMPRODUCT(('alle Dateien'!B:B=Bohrungen!B184)*('alle Dateien'!D:D="pdf"))&gt;0,1,0)</f>
        <v>0</v>
      </c>
      <c r="D184">
        <f>IF(SUMPRODUCT(('alle Dateien'!B:B=Bohrungen!B184)*('alle Dateien'!D:D="tif"))&gt;0,1,0)</f>
        <v>0</v>
      </c>
      <c r="E184">
        <f>IF(SUMPRODUCT(('alle Dateien'!B:B=Bohrungen!B184)*('alle Dateien'!D:D="sdg"))&gt;0,1,0)</f>
        <v>1</v>
      </c>
      <c r="F184">
        <f>IF(SUMPRODUCT(('alle Dateien'!B:B=Bohrungen!B184)*('alle Dateien'!D:D="xlsx"))&gt;0,1,0)</f>
        <v>1</v>
      </c>
      <c r="G184">
        <f>IF(SUMPRODUCT(('alle Dateien'!B:B=Bohrungen!B184)*('alle Dateien'!D:D="docx"))&gt;0,1,0)</f>
        <v>0</v>
      </c>
      <c r="H184">
        <f>IF(SUMPRODUCT(('alle Dateien'!B:B=Bohrungen!B184)*('alle Dateien'!D:D="las"))&gt;0,1,0)</f>
        <v>1</v>
      </c>
      <c r="I184">
        <f>IF(SUMPRODUCT(('alle Dateien'!B:B=Bohrungen!B184)*('alle Dateien'!D:D="db"))&gt;0,1,0)</f>
        <v>0</v>
      </c>
      <c r="J184">
        <f>IF(SUMPRODUCT(('alle Dateien'!B:B=Bohrungen!B184)*('alle Dateien'!D:D="rhistory"))&gt;0,1,0)</f>
        <v>0</v>
      </c>
      <c r="K184">
        <f>IF(SUMPRODUCT(('alle Dateien'!B:B=Bohrungen!B184)*('alle Dateien'!D:D="mdb"))&gt;0,1,0)</f>
        <v>0</v>
      </c>
      <c r="L184">
        <f>IF(SUMPRODUCT(('alle Dateien'!B:B=Bohrungen!B184)*('alle Dateien'!D:D="xml"))&gt;0,1,0)</f>
        <v>0</v>
      </c>
      <c r="M184">
        <f>IF(SUMPRODUCT(('alle Dateien'!B:B=Bohrungen!B184)*('alle Dateien'!D:D="jpg"))&gt;0,1,0)</f>
        <v>0</v>
      </c>
      <c r="N184">
        <f>IF(SUMPRODUCT(('alle Dateien'!B:B=Bohrungen!B184)*('alle Dateien'!D:D="png"))&gt;0,1,0)</f>
        <v>0</v>
      </c>
      <c r="O184">
        <f>IF(SUMPRODUCT(('alle Dateien'!B:B=Bohrungen!B184)*('alle Dateien'!D:D="xls"))&gt;0,1,0)</f>
        <v>0</v>
      </c>
      <c r="P184">
        <f>IF(SUMPRODUCT(('alle Dateien'!B:B=Bohrungen!B184)*('alle Dateien'!D:D="txt"))&gt;0,1,0)</f>
        <v>0</v>
      </c>
      <c r="Q184">
        <f>IF(SUMPRODUCT(('alle Dateien'!B:B=Bohrungen!B184)*('alle Dateien'!D:D="ZIP oder R"))&gt;0,1,0)</f>
        <v>0</v>
      </c>
      <c r="R184">
        <f>IF(SUMPRODUCT(('alle Dateien'!B:B=Bohrungen!B184)*('alle Dateien'!D:D="tsf"))&gt;0,1,0)</f>
        <v>0</v>
      </c>
      <c r="S184">
        <f>IF(SUMPRODUCT(('alle Dateien'!B:B=Bohrungen!B184)*('alle Dateien'!D:D="sch"))&gt;0,1,0)</f>
        <v>0</v>
      </c>
      <c r="U184" t="str">
        <f t="shared" si="5"/>
        <v>00110100000000000</v>
      </c>
      <c r="V184" t="str">
        <f>VLOOKUP(U184,Kategorie!B:C,2,FALSE)</f>
        <v>sdg/ xlsx/ las</v>
      </c>
    </row>
    <row r="185" spans="1:22" x14ac:dyDescent="0.25">
      <c r="A185">
        <v>184</v>
      </c>
      <c r="B185" t="s">
        <v>2265</v>
      </c>
      <c r="C185" s="2">
        <f>IF(SUMPRODUCT(('alle Dateien'!B:B=Bohrungen!B185)*('alle Dateien'!D:D="pdf"))&gt;0,1,0)</f>
        <v>1</v>
      </c>
      <c r="D185">
        <f>IF(SUMPRODUCT(('alle Dateien'!B:B=Bohrungen!B185)*('alle Dateien'!D:D="tif"))&gt;0,1,0)</f>
        <v>0</v>
      </c>
      <c r="E185">
        <f>IF(SUMPRODUCT(('alle Dateien'!B:B=Bohrungen!B185)*('alle Dateien'!D:D="sdg"))&gt;0,1,0)</f>
        <v>0</v>
      </c>
      <c r="F185">
        <f>IF(SUMPRODUCT(('alle Dateien'!B:B=Bohrungen!B185)*('alle Dateien'!D:D="xlsx"))&gt;0,1,0)</f>
        <v>0</v>
      </c>
      <c r="G185">
        <f>IF(SUMPRODUCT(('alle Dateien'!B:B=Bohrungen!B185)*('alle Dateien'!D:D="docx"))&gt;0,1,0)</f>
        <v>0</v>
      </c>
      <c r="H185">
        <f>IF(SUMPRODUCT(('alle Dateien'!B:B=Bohrungen!B185)*('alle Dateien'!D:D="las"))&gt;0,1,0)</f>
        <v>0</v>
      </c>
      <c r="I185">
        <f>IF(SUMPRODUCT(('alle Dateien'!B:B=Bohrungen!B185)*('alle Dateien'!D:D="db"))&gt;0,1,0)</f>
        <v>0</v>
      </c>
      <c r="J185">
        <f>IF(SUMPRODUCT(('alle Dateien'!B:B=Bohrungen!B185)*('alle Dateien'!D:D="rhistory"))&gt;0,1,0)</f>
        <v>0</v>
      </c>
      <c r="K185">
        <f>IF(SUMPRODUCT(('alle Dateien'!B:B=Bohrungen!B185)*('alle Dateien'!D:D="mdb"))&gt;0,1,0)</f>
        <v>0</v>
      </c>
      <c r="L185">
        <f>IF(SUMPRODUCT(('alle Dateien'!B:B=Bohrungen!B185)*('alle Dateien'!D:D="xml"))&gt;0,1,0)</f>
        <v>0</v>
      </c>
      <c r="M185">
        <f>IF(SUMPRODUCT(('alle Dateien'!B:B=Bohrungen!B185)*('alle Dateien'!D:D="jpg"))&gt;0,1,0)</f>
        <v>0</v>
      </c>
      <c r="N185">
        <f>IF(SUMPRODUCT(('alle Dateien'!B:B=Bohrungen!B185)*('alle Dateien'!D:D="png"))&gt;0,1,0)</f>
        <v>0</v>
      </c>
      <c r="O185">
        <f>IF(SUMPRODUCT(('alle Dateien'!B:B=Bohrungen!B185)*('alle Dateien'!D:D="xls"))&gt;0,1,0)</f>
        <v>0</v>
      </c>
      <c r="P185">
        <f>IF(SUMPRODUCT(('alle Dateien'!B:B=Bohrungen!B185)*('alle Dateien'!D:D="txt"))&gt;0,1,0)</f>
        <v>0</v>
      </c>
      <c r="Q185">
        <f>IF(SUMPRODUCT(('alle Dateien'!B:B=Bohrungen!B185)*('alle Dateien'!D:D="ZIP oder R"))&gt;0,1,0)</f>
        <v>0</v>
      </c>
      <c r="R185">
        <f>IF(SUMPRODUCT(('alle Dateien'!B:B=Bohrungen!B185)*('alle Dateien'!D:D="tsf"))&gt;0,1,0)</f>
        <v>0</v>
      </c>
      <c r="S185">
        <f>IF(SUMPRODUCT(('alle Dateien'!B:B=Bohrungen!B185)*('alle Dateien'!D:D="sch"))&gt;0,1,0)</f>
        <v>0</v>
      </c>
      <c r="U185" t="str">
        <f t="shared" si="5"/>
        <v>10000000000000000</v>
      </c>
      <c r="V185" t="str">
        <f>VLOOKUP(U185,Kategorie!B:C,2,FALSE)</f>
        <v>pdf</v>
      </c>
    </row>
    <row r="186" spans="1:22" x14ac:dyDescent="0.25">
      <c r="A186">
        <v>185</v>
      </c>
      <c r="B186" t="s">
        <v>2266</v>
      </c>
      <c r="C186" s="2">
        <f>IF(SUMPRODUCT(('alle Dateien'!B:B=Bohrungen!B186)*('alle Dateien'!D:D="pdf"))&gt;0,1,0)</f>
        <v>0</v>
      </c>
      <c r="D186">
        <f>IF(SUMPRODUCT(('alle Dateien'!B:B=Bohrungen!B186)*('alle Dateien'!D:D="tif"))&gt;0,1,0)</f>
        <v>0</v>
      </c>
      <c r="E186">
        <f>IF(SUMPRODUCT(('alle Dateien'!B:B=Bohrungen!B186)*('alle Dateien'!D:D="sdg"))&gt;0,1,0)</f>
        <v>1</v>
      </c>
      <c r="F186">
        <f>IF(SUMPRODUCT(('alle Dateien'!B:B=Bohrungen!B186)*('alle Dateien'!D:D="xlsx"))&gt;0,1,0)</f>
        <v>1</v>
      </c>
      <c r="G186">
        <f>IF(SUMPRODUCT(('alle Dateien'!B:B=Bohrungen!B186)*('alle Dateien'!D:D="docx"))&gt;0,1,0)</f>
        <v>0</v>
      </c>
      <c r="H186">
        <f>IF(SUMPRODUCT(('alle Dateien'!B:B=Bohrungen!B186)*('alle Dateien'!D:D="las"))&gt;0,1,0)</f>
        <v>1</v>
      </c>
      <c r="I186">
        <f>IF(SUMPRODUCT(('alle Dateien'!B:B=Bohrungen!B186)*('alle Dateien'!D:D="db"))&gt;0,1,0)</f>
        <v>0</v>
      </c>
      <c r="J186">
        <f>IF(SUMPRODUCT(('alle Dateien'!B:B=Bohrungen!B186)*('alle Dateien'!D:D="rhistory"))&gt;0,1,0)</f>
        <v>0</v>
      </c>
      <c r="K186">
        <f>IF(SUMPRODUCT(('alle Dateien'!B:B=Bohrungen!B186)*('alle Dateien'!D:D="mdb"))&gt;0,1,0)</f>
        <v>0</v>
      </c>
      <c r="L186">
        <f>IF(SUMPRODUCT(('alle Dateien'!B:B=Bohrungen!B186)*('alle Dateien'!D:D="xml"))&gt;0,1,0)</f>
        <v>0</v>
      </c>
      <c r="M186">
        <f>IF(SUMPRODUCT(('alle Dateien'!B:B=Bohrungen!B186)*('alle Dateien'!D:D="jpg"))&gt;0,1,0)</f>
        <v>0</v>
      </c>
      <c r="N186">
        <f>IF(SUMPRODUCT(('alle Dateien'!B:B=Bohrungen!B186)*('alle Dateien'!D:D="png"))&gt;0,1,0)</f>
        <v>0</v>
      </c>
      <c r="O186">
        <f>IF(SUMPRODUCT(('alle Dateien'!B:B=Bohrungen!B186)*('alle Dateien'!D:D="xls"))&gt;0,1,0)</f>
        <v>0</v>
      </c>
      <c r="P186">
        <f>IF(SUMPRODUCT(('alle Dateien'!B:B=Bohrungen!B186)*('alle Dateien'!D:D="txt"))&gt;0,1,0)</f>
        <v>0</v>
      </c>
      <c r="Q186">
        <f>IF(SUMPRODUCT(('alle Dateien'!B:B=Bohrungen!B186)*('alle Dateien'!D:D="ZIP oder R"))&gt;0,1,0)</f>
        <v>0</v>
      </c>
      <c r="R186">
        <f>IF(SUMPRODUCT(('alle Dateien'!B:B=Bohrungen!B186)*('alle Dateien'!D:D="tsf"))&gt;0,1,0)</f>
        <v>0</v>
      </c>
      <c r="S186">
        <f>IF(SUMPRODUCT(('alle Dateien'!B:B=Bohrungen!B186)*('alle Dateien'!D:D="sch"))&gt;0,1,0)</f>
        <v>0</v>
      </c>
      <c r="U186" t="str">
        <f t="shared" si="5"/>
        <v>00110100000000000</v>
      </c>
      <c r="V186" t="str">
        <f>VLOOKUP(U186,Kategorie!B:C,2,FALSE)</f>
        <v>sdg/ xlsx/ las</v>
      </c>
    </row>
    <row r="187" spans="1:22" x14ac:dyDescent="0.25">
      <c r="A187">
        <v>186</v>
      </c>
      <c r="B187" t="s">
        <v>2267</v>
      </c>
      <c r="C187" s="2">
        <f>IF(SUMPRODUCT(('alle Dateien'!B:B=Bohrungen!B187)*('alle Dateien'!D:D="pdf"))&gt;0,1,0)</f>
        <v>0</v>
      </c>
      <c r="D187">
        <f>IF(SUMPRODUCT(('alle Dateien'!B:B=Bohrungen!B187)*('alle Dateien'!D:D="tif"))&gt;0,1,0)</f>
        <v>0</v>
      </c>
      <c r="E187">
        <f>IF(SUMPRODUCT(('alle Dateien'!B:B=Bohrungen!B187)*('alle Dateien'!D:D="sdg"))&gt;0,1,0)</f>
        <v>1</v>
      </c>
      <c r="F187">
        <f>IF(SUMPRODUCT(('alle Dateien'!B:B=Bohrungen!B187)*('alle Dateien'!D:D="xlsx"))&gt;0,1,0)</f>
        <v>1</v>
      </c>
      <c r="G187">
        <f>IF(SUMPRODUCT(('alle Dateien'!B:B=Bohrungen!B187)*('alle Dateien'!D:D="docx"))&gt;0,1,0)</f>
        <v>0</v>
      </c>
      <c r="H187">
        <f>IF(SUMPRODUCT(('alle Dateien'!B:B=Bohrungen!B187)*('alle Dateien'!D:D="las"))&gt;0,1,0)</f>
        <v>1</v>
      </c>
      <c r="I187">
        <f>IF(SUMPRODUCT(('alle Dateien'!B:B=Bohrungen!B187)*('alle Dateien'!D:D="db"))&gt;0,1,0)</f>
        <v>0</v>
      </c>
      <c r="J187">
        <f>IF(SUMPRODUCT(('alle Dateien'!B:B=Bohrungen!B187)*('alle Dateien'!D:D="rhistory"))&gt;0,1,0)</f>
        <v>0</v>
      </c>
      <c r="K187">
        <f>IF(SUMPRODUCT(('alle Dateien'!B:B=Bohrungen!B187)*('alle Dateien'!D:D="mdb"))&gt;0,1,0)</f>
        <v>0</v>
      </c>
      <c r="L187">
        <f>IF(SUMPRODUCT(('alle Dateien'!B:B=Bohrungen!B187)*('alle Dateien'!D:D="xml"))&gt;0,1,0)</f>
        <v>0</v>
      </c>
      <c r="M187">
        <f>IF(SUMPRODUCT(('alle Dateien'!B:B=Bohrungen!B187)*('alle Dateien'!D:D="jpg"))&gt;0,1,0)</f>
        <v>0</v>
      </c>
      <c r="N187">
        <f>IF(SUMPRODUCT(('alle Dateien'!B:B=Bohrungen!B187)*('alle Dateien'!D:D="png"))&gt;0,1,0)</f>
        <v>0</v>
      </c>
      <c r="O187">
        <f>IF(SUMPRODUCT(('alle Dateien'!B:B=Bohrungen!B187)*('alle Dateien'!D:D="xls"))&gt;0,1,0)</f>
        <v>0</v>
      </c>
      <c r="P187">
        <f>IF(SUMPRODUCT(('alle Dateien'!B:B=Bohrungen!B187)*('alle Dateien'!D:D="txt"))&gt;0,1,0)</f>
        <v>0</v>
      </c>
      <c r="Q187">
        <f>IF(SUMPRODUCT(('alle Dateien'!B:B=Bohrungen!B187)*('alle Dateien'!D:D="ZIP oder R"))&gt;0,1,0)</f>
        <v>0</v>
      </c>
      <c r="R187">
        <f>IF(SUMPRODUCT(('alle Dateien'!B:B=Bohrungen!B187)*('alle Dateien'!D:D="tsf"))&gt;0,1,0)</f>
        <v>0</v>
      </c>
      <c r="S187">
        <f>IF(SUMPRODUCT(('alle Dateien'!B:B=Bohrungen!B187)*('alle Dateien'!D:D="sch"))&gt;0,1,0)</f>
        <v>0</v>
      </c>
      <c r="U187" t="str">
        <f t="shared" si="5"/>
        <v>00110100000000000</v>
      </c>
      <c r="V187" t="str">
        <f>VLOOKUP(U187,Kategorie!B:C,2,FALSE)</f>
        <v>sdg/ xlsx/ las</v>
      </c>
    </row>
    <row r="188" spans="1:22" x14ac:dyDescent="0.25">
      <c r="A188">
        <v>187</v>
      </c>
      <c r="B188" t="s">
        <v>2268</v>
      </c>
      <c r="C188" s="2">
        <f>IF(SUMPRODUCT(('alle Dateien'!B:B=Bohrungen!B188)*('alle Dateien'!D:D="pdf"))&gt;0,1,0)</f>
        <v>0</v>
      </c>
      <c r="D188">
        <f>IF(SUMPRODUCT(('alle Dateien'!B:B=Bohrungen!B188)*('alle Dateien'!D:D="tif"))&gt;0,1,0)</f>
        <v>0</v>
      </c>
      <c r="E188">
        <f>IF(SUMPRODUCT(('alle Dateien'!B:B=Bohrungen!B188)*('alle Dateien'!D:D="sdg"))&gt;0,1,0)</f>
        <v>1</v>
      </c>
      <c r="F188">
        <f>IF(SUMPRODUCT(('alle Dateien'!B:B=Bohrungen!B188)*('alle Dateien'!D:D="xlsx"))&gt;0,1,0)</f>
        <v>1</v>
      </c>
      <c r="G188">
        <f>IF(SUMPRODUCT(('alle Dateien'!B:B=Bohrungen!B188)*('alle Dateien'!D:D="docx"))&gt;0,1,0)</f>
        <v>0</v>
      </c>
      <c r="H188">
        <f>IF(SUMPRODUCT(('alle Dateien'!B:B=Bohrungen!B188)*('alle Dateien'!D:D="las"))&gt;0,1,0)</f>
        <v>1</v>
      </c>
      <c r="I188">
        <f>IF(SUMPRODUCT(('alle Dateien'!B:B=Bohrungen!B188)*('alle Dateien'!D:D="db"))&gt;0,1,0)</f>
        <v>0</v>
      </c>
      <c r="J188">
        <f>IF(SUMPRODUCT(('alle Dateien'!B:B=Bohrungen!B188)*('alle Dateien'!D:D="rhistory"))&gt;0,1,0)</f>
        <v>0</v>
      </c>
      <c r="K188">
        <f>IF(SUMPRODUCT(('alle Dateien'!B:B=Bohrungen!B188)*('alle Dateien'!D:D="mdb"))&gt;0,1,0)</f>
        <v>0</v>
      </c>
      <c r="L188">
        <f>IF(SUMPRODUCT(('alle Dateien'!B:B=Bohrungen!B188)*('alle Dateien'!D:D="xml"))&gt;0,1,0)</f>
        <v>0</v>
      </c>
      <c r="M188">
        <f>IF(SUMPRODUCT(('alle Dateien'!B:B=Bohrungen!B188)*('alle Dateien'!D:D="jpg"))&gt;0,1,0)</f>
        <v>0</v>
      </c>
      <c r="N188">
        <f>IF(SUMPRODUCT(('alle Dateien'!B:B=Bohrungen!B188)*('alle Dateien'!D:D="png"))&gt;0,1,0)</f>
        <v>0</v>
      </c>
      <c r="O188">
        <f>IF(SUMPRODUCT(('alle Dateien'!B:B=Bohrungen!B188)*('alle Dateien'!D:D="xls"))&gt;0,1,0)</f>
        <v>0</v>
      </c>
      <c r="P188">
        <f>IF(SUMPRODUCT(('alle Dateien'!B:B=Bohrungen!B188)*('alle Dateien'!D:D="txt"))&gt;0,1,0)</f>
        <v>0</v>
      </c>
      <c r="Q188">
        <f>IF(SUMPRODUCT(('alle Dateien'!B:B=Bohrungen!B188)*('alle Dateien'!D:D="ZIP oder R"))&gt;0,1,0)</f>
        <v>0</v>
      </c>
      <c r="R188">
        <f>IF(SUMPRODUCT(('alle Dateien'!B:B=Bohrungen!B188)*('alle Dateien'!D:D="tsf"))&gt;0,1,0)</f>
        <v>0</v>
      </c>
      <c r="S188">
        <f>IF(SUMPRODUCT(('alle Dateien'!B:B=Bohrungen!B188)*('alle Dateien'!D:D="sch"))&gt;0,1,0)</f>
        <v>0</v>
      </c>
      <c r="U188" t="str">
        <f t="shared" si="5"/>
        <v>00110100000000000</v>
      </c>
      <c r="V188" t="str">
        <f>VLOOKUP(U188,Kategorie!B:C,2,FALSE)</f>
        <v>sdg/ xlsx/ las</v>
      </c>
    </row>
    <row r="189" spans="1:22" x14ac:dyDescent="0.25">
      <c r="C189" s="2"/>
    </row>
    <row r="190" spans="1:22" x14ac:dyDescent="0.25">
      <c r="C190" s="2"/>
    </row>
    <row r="191" spans="1:22" x14ac:dyDescent="0.25">
      <c r="C191" s="2"/>
    </row>
  </sheetData>
  <autoFilter ref="A1:U1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8"/>
  <sheetViews>
    <sheetView workbookViewId="0">
      <selection activeCell="C1" sqref="C1:D1048576"/>
    </sheetView>
  </sheetViews>
  <sheetFormatPr baseColWidth="10" defaultRowHeight="15" x14ac:dyDescent="0.25"/>
  <cols>
    <col min="2" max="2" width="34.85546875" bestFit="1" customWidth="1"/>
    <col min="3" max="4" width="11.42578125" style="4"/>
  </cols>
  <sheetData>
    <row r="1" spans="1:4" x14ac:dyDescent="0.25">
      <c r="A1" t="s">
        <v>2087</v>
      </c>
      <c r="B1" t="s">
        <v>2088</v>
      </c>
      <c r="C1" s="3" t="s">
        <v>2342</v>
      </c>
      <c r="D1" s="3" t="s">
        <v>2343</v>
      </c>
    </row>
    <row r="2" spans="1:4" x14ac:dyDescent="0.25">
      <c r="A2">
        <v>1</v>
      </c>
      <c r="B2" t="s">
        <v>2089</v>
      </c>
      <c r="C2" s="4">
        <v>4415490</v>
      </c>
      <c r="D2" s="4">
        <v>5675848.4000000004</v>
      </c>
    </row>
    <row r="3" spans="1:4" x14ac:dyDescent="0.25">
      <c r="A3">
        <v>2</v>
      </c>
      <c r="B3" t="s">
        <v>2090</v>
      </c>
      <c r="C3" s="5">
        <v>4407839.3</v>
      </c>
      <c r="D3" s="5">
        <v>5679498.9000000004</v>
      </c>
    </row>
    <row r="4" spans="1:4" x14ac:dyDescent="0.25">
      <c r="A4">
        <v>3</v>
      </c>
      <c r="B4" t="s">
        <v>2091</v>
      </c>
      <c r="C4" s="4">
        <v>4411971.7</v>
      </c>
      <c r="D4" s="4">
        <v>5676242.2000000002</v>
      </c>
    </row>
    <row r="5" spans="1:4" x14ac:dyDescent="0.25">
      <c r="A5">
        <v>4</v>
      </c>
      <c r="B5" t="s">
        <v>2092</v>
      </c>
      <c r="C5" s="5">
        <v>4410119.8</v>
      </c>
      <c r="D5" s="5">
        <v>5677194.7999999998</v>
      </c>
    </row>
    <row r="6" spans="1:4" x14ac:dyDescent="0.25">
      <c r="A6">
        <v>5</v>
      </c>
      <c r="B6" t="s">
        <v>2093</v>
      </c>
      <c r="C6" s="5">
        <v>4410449.0999999996</v>
      </c>
      <c r="D6" s="5">
        <v>5677385.9000000004</v>
      </c>
    </row>
    <row r="7" spans="1:4" x14ac:dyDescent="0.25">
      <c r="A7">
        <v>6</v>
      </c>
      <c r="B7" t="s">
        <v>2094</v>
      </c>
      <c r="C7" s="6">
        <v>4410942.4000000004</v>
      </c>
      <c r="D7" s="5">
        <v>5677743</v>
      </c>
    </row>
    <row r="8" spans="1:4" x14ac:dyDescent="0.25">
      <c r="A8">
        <v>7</v>
      </c>
      <c r="B8" t="s">
        <v>2095</v>
      </c>
      <c r="C8" s="5">
        <v>4410185.4000000004</v>
      </c>
      <c r="D8" s="5">
        <v>5677862.9000000004</v>
      </c>
    </row>
    <row r="9" spans="1:4" x14ac:dyDescent="0.25">
      <c r="A9">
        <v>8</v>
      </c>
      <c r="B9" t="s">
        <v>2096</v>
      </c>
      <c r="C9" s="5">
        <v>4411316.2</v>
      </c>
      <c r="D9" s="5">
        <v>5680498.2999999998</v>
      </c>
    </row>
    <row r="10" spans="1:4" x14ac:dyDescent="0.25">
      <c r="A10">
        <v>9</v>
      </c>
      <c r="B10" t="s">
        <v>2097</v>
      </c>
      <c r="C10" s="7">
        <v>4414062.0999999996</v>
      </c>
      <c r="D10" s="7">
        <v>5674935.2000000002</v>
      </c>
    </row>
    <row r="11" spans="1:4" x14ac:dyDescent="0.25">
      <c r="A11">
        <v>10</v>
      </c>
      <c r="B11" t="s">
        <v>2098</v>
      </c>
      <c r="C11" s="5">
        <v>4412526.7</v>
      </c>
      <c r="D11" s="5">
        <v>5677148.5</v>
      </c>
    </row>
    <row r="12" spans="1:4" x14ac:dyDescent="0.25">
      <c r="A12">
        <v>11</v>
      </c>
      <c r="B12" t="s">
        <v>2099</v>
      </c>
      <c r="C12" s="5">
        <v>4410370.9000000004</v>
      </c>
      <c r="D12" s="5">
        <v>5678783.5999999996</v>
      </c>
    </row>
    <row r="13" spans="1:4" x14ac:dyDescent="0.25">
      <c r="A13">
        <v>12</v>
      </c>
      <c r="B13" t="s">
        <v>2100</v>
      </c>
      <c r="C13" s="7">
        <v>4399687.12</v>
      </c>
      <c r="D13" s="7">
        <v>5673102.7300000004</v>
      </c>
    </row>
    <row r="14" spans="1:4" x14ac:dyDescent="0.25">
      <c r="A14">
        <v>13</v>
      </c>
      <c r="B14" t="s">
        <v>2101</v>
      </c>
      <c r="C14" s="7">
        <v>4399547.42</v>
      </c>
      <c r="D14" s="7">
        <v>5671479.7599999998</v>
      </c>
    </row>
    <row r="15" spans="1:4" x14ac:dyDescent="0.25">
      <c r="A15">
        <v>14</v>
      </c>
      <c r="B15" t="s">
        <v>2102</v>
      </c>
      <c r="C15" s="7">
        <v>4393738.4400000004</v>
      </c>
      <c r="D15" s="7">
        <v>5670811.3300000001</v>
      </c>
    </row>
    <row r="16" spans="1:4" x14ac:dyDescent="0.25">
      <c r="A16">
        <v>15</v>
      </c>
      <c r="B16" t="s">
        <v>2103</v>
      </c>
      <c r="C16" s="7">
        <v>4399370.0999999996</v>
      </c>
      <c r="D16" s="7">
        <v>5671898.7999999998</v>
      </c>
    </row>
    <row r="17" spans="1:4" x14ac:dyDescent="0.25">
      <c r="A17">
        <v>16</v>
      </c>
      <c r="B17" t="s">
        <v>2104</v>
      </c>
      <c r="C17" s="7">
        <v>4466436.2</v>
      </c>
      <c r="D17" s="7">
        <v>5655896.0999999996</v>
      </c>
    </row>
    <row r="18" spans="1:4" x14ac:dyDescent="0.25">
      <c r="A18">
        <v>17</v>
      </c>
      <c r="B18" t="s">
        <v>2105</v>
      </c>
      <c r="C18" s="7">
        <v>4494787.8</v>
      </c>
      <c r="D18" s="7">
        <v>5618778.5</v>
      </c>
    </row>
    <row r="19" spans="1:4" x14ac:dyDescent="0.25">
      <c r="A19">
        <v>18</v>
      </c>
      <c r="B19" t="s">
        <v>2106</v>
      </c>
      <c r="C19" s="7">
        <v>4414720.8</v>
      </c>
      <c r="D19" s="7">
        <v>5571710.0999999996</v>
      </c>
    </row>
    <row r="20" spans="1:4" x14ac:dyDescent="0.25">
      <c r="A20">
        <v>19</v>
      </c>
      <c r="B20" t="s">
        <v>2269</v>
      </c>
      <c r="C20" s="5">
        <v>4446653</v>
      </c>
      <c r="D20" s="5">
        <v>5658621</v>
      </c>
    </row>
    <row r="21" spans="1:4" x14ac:dyDescent="0.25">
      <c r="A21">
        <v>20</v>
      </c>
      <c r="B21" t="s">
        <v>2107</v>
      </c>
      <c r="C21" s="4">
        <v>4400240.5999999996</v>
      </c>
      <c r="D21" s="4">
        <v>5652723.5999999996</v>
      </c>
    </row>
    <row r="22" spans="1:4" x14ac:dyDescent="0.25">
      <c r="A22">
        <v>21</v>
      </c>
      <c r="B22" t="s">
        <v>2108</v>
      </c>
      <c r="C22" s="4">
        <v>4397909.3</v>
      </c>
      <c r="D22" s="4">
        <v>5653419.5</v>
      </c>
    </row>
    <row r="23" spans="1:4" x14ac:dyDescent="0.25">
      <c r="A23">
        <v>22</v>
      </c>
      <c r="B23" t="s">
        <v>2109</v>
      </c>
      <c r="C23" s="4">
        <v>4399141.2</v>
      </c>
      <c r="D23" s="4">
        <v>5654773.4000000004</v>
      </c>
    </row>
    <row r="24" spans="1:4" x14ac:dyDescent="0.25">
      <c r="A24">
        <v>23</v>
      </c>
      <c r="B24" t="s">
        <v>2110</v>
      </c>
      <c r="C24" s="4">
        <v>4402205.8</v>
      </c>
      <c r="D24" s="4">
        <v>5652925.7000000002</v>
      </c>
    </row>
    <row r="25" spans="1:4" x14ac:dyDescent="0.25">
      <c r="A25">
        <v>24</v>
      </c>
      <c r="B25" t="s">
        <v>2111</v>
      </c>
      <c r="C25" s="7">
        <v>4397513.3</v>
      </c>
      <c r="D25" s="7">
        <v>5654774.5999999996</v>
      </c>
    </row>
    <row r="26" spans="1:4" x14ac:dyDescent="0.25">
      <c r="A26">
        <v>25</v>
      </c>
      <c r="B26" t="s">
        <v>2112</v>
      </c>
      <c r="C26" s="4">
        <v>4396802.5</v>
      </c>
      <c r="D26" s="4">
        <v>5653897.7999999998</v>
      </c>
    </row>
    <row r="27" spans="1:4" x14ac:dyDescent="0.25">
      <c r="A27">
        <v>26</v>
      </c>
      <c r="B27" t="s">
        <v>2113</v>
      </c>
      <c r="C27" s="4">
        <v>4400040.3</v>
      </c>
      <c r="D27" s="4">
        <v>5653971.0999999996</v>
      </c>
    </row>
    <row r="28" spans="1:4" x14ac:dyDescent="0.25">
      <c r="A28">
        <v>27</v>
      </c>
      <c r="B28" t="s">
        <v>2114</v>
      </c>
      <c r="C28" s="4">
        <v>4396273.5999999996</v>
      </c>
      <c r="D28" s="4">
        <v>5655048.5</v>
      </c>
    </row>
    <row r="29" spans="1:4" x14ac:dyDescent="0.25">
      <c r="A29">
        <v>28</v>
      </c>
      <c r="B29" t="s">
        <v>2115</v>
      </c>
      <c r="C29" s="7">
        <v>4398273.4000000004</v>
      </c>
      <c r="D29" s="7">
        <v>5655676.9000000004</v>
      </c>
    </row>
    <row r="30" spans="1:4" x14ac:dyDescent="0.25">
      <c r="A30">
        <v>29</v>
      </c>
      <c r="B30" t="s">
        <v>2116</v>
      </c>
      <c r="C30" s="4">
        <v>4401188.2</v>
      </c>
      <c r="D30" s="4">
        <v>5653492</v>
      </c>
    </row>
    <row r="31" spans="1:4" x14ac:dyDescent="0.25">
      <c r="A31">
        <v>30</v>
      </c>
      <c r="B31" t="s">
        <v>2117</v>
      </c>
      <c r="C31" s="7">
        <v>4397216.5</v>
      </c>
      <c r="D31" s="7">
        <v>5656020.7999999998</v>
      </c>
    </row>
    <row r="32" spans="1:4" x14ac:dyDescent="0.25">
      <c r="A32">
        <v>31</v>
      </c>
      <c r="B32" t="s">
        <v>2118</v>
      </c>
      <c r="C32" s="7">
        <v>4425540</v>
      </c>
      <c r="D32" s="7">
        <v>5691350</v>
      </c>
    </row>
    <row r="33" spans="1:4" x14ac:dyDescent="0.25">
      <c r="A33">
        <v>32</v>
      </c>
      <c r="B33" t="s">
        <v>2119</v>
      </c>
      <c r="C33" s="7">
        <v>4423576.3</v>
      </c>
      <c r="D33" s="7">
        <v>5688775.7999999998</v>
      </c>
    </row>
    <row r="34" spans="1:4" x14ac:dyDescent="0.25">
      <c r="A34">
        <v>33</v>
      </c>
      <c r="B34" t="s">
        <v>2120</v>
      </c>
      <c r="C34" s="7">
        <v>4452510</v>
      </c>
      <c r="D34" s="7">
        <v>5612901.0999999996</v>
      </c>
    </row>
    <row r="35" spans="1:4" x14ac:dyDescent="0.25">
      <c r="A35">
        <v>34</v>
      </c>
      <c r="B35" t="s">
        <v>2270</v>
      </c>
      <c r="C35" s="5">
        <v>4362011.3</v>
      </c>
      <c r="D35" s="5">
        <v>5691689.3899999997</v>
      </c>
    </row>
    <row r="36" spans="1:4" x14ac:dyDescent="0.25">
      <c r="A36">
        <v>35</v>
      </c>
      <c r="B36" t="s">
        <v>2121</v>
      </c>
      <c r="C36" s="7">
        <v>4479579.4000000004</v>
      </c>
      <c r="D36" s="7">
        <v>5588753.4000000004</v>
      </c>
    </row>
    <row r="37" spans="1:4" x14ac:dyDescent="0.25">
      <c r="A37">
        <v>36</v>
      </c>
      <c r="B37" t="s">
        <v>2122</v>
      </c>
      <c r="C37" s="4">
        <v>4458782.5</v>
      </c>
      <c r="D37" s="4">
        <v>5660101.7000000002</v>
      </c>
    </row>
    <row r="38" spans="1:4" x14ac:dyDescent="0.25">
      <c r="A38">
        <v>37</v>
      </c>
      <c r="B38" t="s">
        <v>2123</v>
      </c>
      <c r="C38" s="4">
        <v>4453936.2</v>
      </c>
      <c r="D38" s="4">
        <v>5659434.5999999996</v>
      </c>
    </row>
    <row r="39" spans="1:4" x14ac:dyDescent="0.25">
      <c r="A39">
        <v>38</v>
      </c>
      <c r="B39" t="s">
        <v>2124</v>
      </c>
      <c r="C39" s="7">
        <v>4456224</v>
      </c>
      <c r="D39" s="7">
        <v>5662381.5999999996</v>
      </c>
    </row>
    <row r="40" spans="1:4" x14ac:dyDescent="0.25">
      <c r="A40">
        <v>39</v>
      </c>
      <c r="B40" t="s">
        <v>2125</v>
      </c>
      <c r="C40" s="4">
        <v>4458982.2</v>
      </c>
      <c r="D40" s="4">
        <v>5664557.2999999998</v>
      </c>
    </row>
    <row r="41" spans="1:4" x14ac:dyDescent="0.25">
      <c r="A41">
        <v>40</v>
      </c>
      <c r="B41" t="s">
        <v>2126</v>
      </c>
      <c r="C41" s="4">
        <v>4459104.5</v>
      </c>
      <c r="D41" s="4">
        <v>5666396.0999999996</v>
      </c>
    </row>
    <row r="42" spans="1:4" x14ac:dyDescent="0.25">
      <c r="A42">
        <v>41</v>
      </c>
      <c r="B42" t="s">
        <v>2127</v>
      </c>
      <c r="C42" s="4">
        <v>4455920.2</v>
      </c>
      <c r="D42" s="4">
        <v>5666309.0999999996</v>
      </c>
    </row>
    <row r="43" spans="1:4" x14ac:dyDescent="0.25">
      <c r="A43">
        <v>42</v>
      </c>
      <c r="B43" t="s">
        <v>2128</v>
      </c>
      <c r="C43" s="7">
        <v>4461195.2</v>
      </c>
      <c r="D43" s="7">
        <v>5666374.5999999996</v>
      </c>
    </row>
    <row r="44" spans="1:4" x14ac:dyDescent="0.25">
      <c r="A44">
        <v>43</v>
      </c>
      <c r="B44" t="s">
        <v>2129</v>
      </c>
      <c r="C44" s="7">
        <v>4457356.2</v>
      </c>
      <c r="D44" s="7">
        <v>5667469.7000000002</v>
      </c>
    </row>
    <row r="45" spans="1:4" x14ac:dyDescent="0.25">
      <c r="A45">
        <v>44</v>
      </c>
      <c r="B45" t="s">
        <v>2130</v>
      </c>
      <c r="C45" s="7">
        <v>4455375.5999999996</v>
      </c>
      <c r="D45" s="7">
        <v>5668458.9000000004</v>
      </c>
    </row>
    <row r="46" spans="1:4" x14ac:dyDescent="0.25">
      <c r="A46">
        <v>45</v>
      </c>
      <c r="B46" t="s">
        <v>2131</v>
      </c>
      <c r="C46" s="7">
        <v>4379809.96</v>
      </c>
      <c r="D46" s="7">
        <v>5657988.6200000001</v>
      </c>
    </row>
    <row r="47" spans="1:4" x14ac:dyDescent="0.25">
      <c r="A47">
        <v>46</v>
      </c>
      <c r="B47" t="s">
        <v>2132</v>
      </c>
      <c r="C47" s="4">
        <v>4382608.59</v>
      </c>
      <c r="D47" s="4">
        <v>5657654.6900000004</v>
      </c>
    </row>
    <row r="48" spans="1:4" x14ac:dyDescent="0.25">
      <c r="A48">
        <v>47</v>
      </c>
      <c r="B48" t="s">
        <v>2133</v>
      </c>
      <c r="C48" s="4">
        <v>4360277.0599999996</v>
      </c>
      <c r="D48" s="4">
        <v>5627655.6699999999</v>
      </c>
    </row>
    <row r="49" spans="1:4" x14ac:dyDescent="0.25">
      <c r="A49">
        <v>48</v>
      </c>
      <c r="B49" t="s">
        <v>2134</v>
      </c>
      <c r="C49" s="7">
        <v>4432660.2</v>
      </c>
      <c r="D49" s="7">
        <v>5581707.0999999996</v>
      </c>
    </row>
    <row r="50" spans="1:4" x14ac:dyDescent="0.25">
      <c r="A50">
        <v>49</v>
      </c>
      <c r="B50" t="s">
        <v>2135</v>
      </c>
      <c r="C50" s="7">
        <v>4433034.4000000004</v>
      </c>
      <c r="D50" s="7">
        <v>5582727.4000000004</v>
      </c>
    </row>
    <row r="51" spans="1:4" x14ac:dyDescent="0.25">
      <c r="A51">
        <v>50</v>
      </c>
      <c r="B51" t="s">
        <v>2136</v>
      </c>
      <c r="C51" s="7">
        <v>4404875.0999999996</v>
      </c>
      <c r="D51" s="7">
        <v>5606580.4000000004</v>
      </c>
    </row>
    <row r="52" spans="1:4" x14ac:dyDescent="0.25">
      <c r="A52">
        <v>51</v>
      </c>
      <c r="B52" t="s">
        <v>2137</v>
      </c>
      <c r="C52" s="7">
        <v>4407533.8</v>
      </c>
      <c r="D52" s="7">
        <v>5701710</v>
      </c>
    </row>
    <row r="53" spans="1:4" x14ac:dyDescent="0.25">
      <c r="A53">
        <v>52</v>
      </c>
      <c r="B53" t="s">
        <v>2138</v>
      </c>
      <c r="C53" s="3">
        <v>4432701</v>
      </c>
      <c r="D53" s="3">
        <v>5654500</v>
      </c>
    </row>
    <row r="54" spans="1:4" x14ac:dyDescent="0.25">
      <c r="A54">
        <v>53</v>
      </c>
      <c r="B54" t="s">
        <v>2139</v>
      </c>
      <c r="C54" s="7">
        <v>4448150.3</v>
      </c>
      <c r="D54" s="7">
        <v>5654874.5</v>
      </c>
    </row>
    <row r="55" spans="1:4" x14ac:dyDescent="0.25">
      <c r="A55">
        <v>54</v>
      </c>
      <c r="B55" t="s">
        <v>2140</v>
      </c>
      <c r="C55" s="4">
        <v>4447764.8</v>
      </c>
      <c r="D55" s="4">
        <v>5653848.0999999996</v>
      </c>
    </row>
    <row r="56" spans="1:4" x14ac:dyDescent="0.25">
      <c r="A56">
        <v>55</v>
      </c>
      <c r="B56" t="s">
        <v>2141</v>
      </c>
      <c r="C56" s="4">
        <v>4447272.2</v>
      </c>
      <c r="D56" s="4">
        <v>5652635.4000000004</v>
      </c>
    </row>
    <row r="57" spans="1:4" x14ac:dyDescent="0.25">
      <c r="A57">
        <v>56</v>
      </c>
      <c r="B57" t="s">
        <v>2142</v>
      </c>
      <c r="C57" s="3">
        <v>4455209.5999999996</v>
      </c>
      <c r="D57" s="3">
        <v>5653473.4000000004</v>
      </c>
    </row>
    <row r="58" spans="1:4" x14ac:dyDescent="0.25">
      <c r="A58">
        <v>57</v>
      </c>
      <c r="B58" t="s">
        <v>2271</v>
      </c>
      <c r="C58" s="5">
        <v>4415997.7</v>
      </c>
      <c r="D58" s="5">
        <v>5656150.7000000002</v>
      </c>
    </row>
    <row r="59" spans="1:4" x14ac:dyDescent="0.25">
      <c r="A59">
        <v>58</v>
      </c>
      <c r="B59" t="s">
        <v>2143</v>
      </c>
      <c r="C59" s="4">
        <v>4478795</v>
      </c>
      <c r="D59" s="4">
        <v>5646270.7999999998</v>
      </c>
    </row>
    <row r="60" spans="1:4" x14ac:dyDescent="0.25">
      <c r="A60">
        <v>59</v>
      </c>
      <c r="B60" t="s">
        <v>2144</v>
      </c>
      <c r="C60" s="7">
        <v>4408179.3</v>
      </c>
      <c r="D60" s="7">
        <v>5642181.9000000004</v>
      </c>
    </row>
    <row r="61" spans="1:4" x14ac:dyDescent="0.25">
      <c r="A61">
        <v>60</v>
      </c>
      <c r="B61" t="s">
        <v>2145</v>
      </c>
      <c r="C61" s="3">
        <v>4409458</v>
      </c>
      <c r="D61" s="3">
        <v>5642593.4000000004</v>
      </c>
    </row>
    <row r="62" spans="1:4" x14ac:dyDescent="0.25">
      <c r="A62">
        <v>61</v>
      </c>
      <c r="B62" t="s">
        <v>2146</v>
      </c>
      <c r="C62" s="7">
        <v>4440032.9000000004</v>
      </c>
      <c r="D62" s="7">
        <v>5677432.2000000002</v>
      </c>
    </row>
    <row r="63" spans="1:4" x14ac:dyDescent="0.25">
      <c r="A63">
        <v>62</v>
      </c>
      <c r="B63" t="s">
        <v>2147</v>
      </c>
      <c r="C63" s="4">
        <v>4451821.8</v>
      </c>
      <c r="D63" s="4">
        <v>5664811</v>
      </c>
    </row>
    <row r="64" spans="1:4" x14ac:dyDescent="0.25">
      <c r="A64">
        <v>63</v>
      </c>
      <c r="B64" t="s">
        <v>2148</v>
      </c>
      <c r="C64" s="4">
        <v>4455446.5999999996</v>
      </c>
      <c r="D64" s="4">
        <v>5664238.0999999996</v>
      </c>
    </row>
    <row r="65" spans="1:4" x14ac:dyDescent="0.25">
      <c r="A65">
        <v>64</v>
      </c>
      <c r="B65" t="s">
        <v>2149</v>
      </c>
      <c r="C65" s="7">
        <v>4463771.7</v>
      </c>
      <c r="D65" s="7">
        <v>5630407</v>
      </c>
    </row>
    <row r="66" spans="1:4" x14ac:dyDescent="0.25">
      <c r="A66">
        <v>65</v>
      </c>
      <c r="B66" t="s">
        <v>2150</v>
      </c>
      <c r="C66" s="4">
        <v>4412860.3</v>
      </c>
      <c r="D66" s="4">
        <v>5643371.2999999998</v>
      </c>
    </row>
    <row r="67" spans="1:4" x14ac:dyDescent="0.25">
      <c r="A67">
        <v>66</v>
      </c>
      <c r="B67" t="s">
        <v>2151</v>
      </c>
      <c r="C67" s="4">
        <v>4428869.12</v>
      </c>
      <c r="D67" s="4">
        <v>5690723.5599999996</v>
      </c>
    </row>
    <row r="68" spans="1:4" x14ac:dyDescent="0.25">
      <c r="A68">
        <v>67</v>
      </c>
      <c r="B68" t="s">
        <v>2152</v>
      </c>
      <c r="C68" s="7">
        <v>4428186.0999999996</v>
      </c>
      <c r="D68" s="7">
        <v>5689643.7999999998</v>
      </c>
    </row>
    <row r="69" spans="1:4" x14ac:dyDescent="0.25">
      <c r="A69">
        <v>68</v>
      </c>
      <c r="B69" t="s">
        <v>2153</v>
      </c>
      <c r="C69" s="7">
        <v>4382091.2699999996</v>
      </c>
      <c r="D69" s="7">
        <v>5676845.7699999996</v>
      </c>
    </row>
    <row r="70" spans="1:4" x14ac:dyDescent="0.25">
      <c r="A70">
        <v>69</v>
      </c>
      <c r="B70" t="s">
        <v>2154</v>
      </c>
      <c r="C70" s="7">
        <v>4380897.62</v>
      </c>
      <c r="D70" s="7">
        <v>5678133.1500000004</v>
      </c>
    </row>
    <row r="71" spans="1:4" x14ac:dyDescent="0.25">
      <c r="A71">
        <v>70</v>
      </c>
      <c r="B71" t="s">
        <v>2155</v>
      </c>
      <c r="C71" s="7">
        <v>4380601.17</v>
      </c>
      <c r="D71" s="7">
        <v>5676065.2699999996</v>
      </c>
    </row>
    <row r="72" spans="1:4" x14ac:dyDescent="0.25">
      <c r="A72">
        <v>71</v>
      </c>
      <c r="B72" t="s">
        <v>2156</v>
      </c>
      <c r="C72" s="7">
        <v>4379049.79</v>
      </c>
      <c r="D72" s="7">
        <v>5678751.9299999997</v>
      </c>
    </row>
    <row r="73" spans="1:4" x14ac:dyDescent="0.25">
      <c r="A73">
        <v>72</v>
      </c>
      <c r="B73" t="s">
        <v>2157</v>
      </c>
      <c r="C73" s="7">
        <v>4381905.01</v>
      </c>
      <c r="D73" s="7">
        <v>5668533.8899999997</v>
      </c>
    </row>
    <row r="74" spans="1:4" x14ac:dyDescent="0.25">
      <c r="A74">
        <v>73</v>
      </c>
      <c r="B74" t="s">
        <v>2158</v>
      </c>
    </row>
    <row r="75" spans="1:4" x14ac:dyDescent="0.25">
      <c r="A75">
        <v>74</v>
      </c>
      <c r="B75" t="s">
        <v>2159</v>
      </c>
      <c r="C75" s="7">
        <v>4425463.9000000004</v>
      </c>
      <c r="D75" s="7">
        <v>5689057.9000000004</v>
      </c>
    </row>
    <row r="76" spans="1:4" x14ac:dyDescent="0.25">
      <c r="A76">
        <v>75</v>
      </c>
      <c r="B76" t="s">
        <v>2160</v>
      </c>
      <c r="C76" s="4">
        <v>4419570.5999999996</v>
      </c>
      <c r="D76" s="4">
        <v>5670916.5999999996</v>
      </c>
    </row>
    <row r="77" spans="1:4" x14ac:dyDescent="0.25">
      <c r="A77">
        <v>76</v>
      </c>
      <c r="B77" t="s">
        <v>2161</v>
      </c>
      <c r="C77" s="7">
        <v>4364949.16</v>
      </c>
      <c r="D77" s="7">
        <v>5627334.9199999999</v>
      </c>
    </row>
    <row r="78" spans="1:4" x14ac:dyDescent="0.25">
      <c r="A78">
        <v>77</v>
      </c>
      <c r="B78" t="s">
        <v>2162</v>
      </c>
      <c r="C78" s="5">
        <v>4407898</v>
      </c>
      <c r="D78" s="5">
        <v>5685198.2000000002</v>
      </c>
    </row>
    <row r="79" spans="1:4" x14ac:dyDescent="0.25">
      <c r="A79">
        <v>78</v>
      </c>
      <c r="B79" t="s">
        <v>2163</v>
      </c>
      <c r="C79" s="7">
        <v>4402868.7</v>
      </c>
      <c r="D79" s="7">
        <v>5689303.0999999996</v>
      </c>
    </row>
    <row r="80" spans="1:4" x14ac:dyDescent="0.25">
      <c r="A80">
        <v>79</v>
      </c>
      <c r="B80" t="s">
        <v>2164</v>
      </c>
      <c r="C80" s="7">
        <v>4403351.9000000004</v>
      </c>
      <c r="D80" s="7">
        <v>5690008.7999999998</v>
      </c>
    </row>
    <row r="81" spans="1:4" x14ac:dyDescent="0.25">
      <c r="A81">
        <v>80</v>
      </c>
      <c r="B81" t="s">
        <v>2165</v>
      </c>
      <c r="C81" s="7">
        <v>4404306.4000000004</v>
      </c>
      <c r="D81" s="7">
        <v>5690367</v>
      </c>
    </row>
    <row r="82" spans="1:4" x14ac:dyDescent="0.25">
      <c r="A82">
        <v>81</v>
      </c>
      <c r="B82" t="s">
        <v>2166</v>
      </c>
      <c r="C82" s="7">
        <v>4406226.5999999996</v>
      </c>
      <c r="D82" s="7">
        <v>5691376.4000000004</v>
      </c>
    </row>
    <row r="83" spans="1:4" x14ac:dyDescent="0.25">
      <c r="A83">
        <v>82</v>
      </c>
      <c r="B83" t="s">
        <v>2167</v>
      </c>
      <c r="C83" s="7">
        <v>4416254.24</v>
      </c>
      <c r="D83" s="7">
        <v>5716137.0499999998</v>
      </c>
    </row>
    <row r="84" spans="1:4" x14ac:dyDescent="0.25">
      <c r="A84">
        <v>83</v>
      </c>
      <c r="B84" t="s">
        <v>2168</v>
      </c>
      <c r="C84" s="4">
        <v>4458846.5999999996</v>
      </c>
      <c r="D84" s="4">
        <v>5656519.4000000004</v>
      </c>
    </row>
    <row r="85" spans="1:4" x14ac:dyDescent="0.25">
      <c r="A85">
        <v>84</v>
      </c>
      <c r="B85" t="s">
        <v>2169</v>
      </c>
      <c r="C85" s="7">
        <v>4476812.5999999996</v>
      </c>
      <c r="D85" s="7">
        <v>5657389.5</v>
      </c>
    </row>
    <row r="86" spans="1:4" x14ac:dyDescent="0.25">
      <c r="A86">
        <v>85</v>
      </c>
      <c r="B86" t="s">
        <v>2171</v>
      </c>
      <c r="C86" s="7">
        <v>4455281.3</v>
      </c>
      <c r="D86" s="7">
        <v>5690669.7999999998</v>
      </c>
    </row>
    <row r="87" spans="1:4" x14ac:dyDescent="0.25">
      <c r="A87">
        <v>86</v>
      </c>
      <c r="B87" t="s">
        <v>2172</v>
      </c>
      <c r="C87" s="7">
        <v>4396365.8</v>
      </c>
      <c r="D87" s="7">
        <v>5687250.9000000004</v>
      </c>
    </row>
    <row r="88" spans="1:4" x14ac:dyDescent="0.25">
      <c r="A88">
        <v>87</v>
      </c>
      <c r="B88" t="s">
        <v>2173</v>
      </c>
      <c r="C88" s="7">
        <v>4397984.3</v>
      </c>
      <c r="D88" s="7">
        <v>5687087.5999999996</v>
      </c>
    </row>
    <row r="89" spans="1:4" x14ac:dyDescent="0.25">
      <c r="A89">
        <v>88</v>
      </c>
      <c r="B89" t="s">
        <v>2174</v>
      </c>
      <c r="C89" s="7">
        <v>4396420.5999999996</v>
      </c>
      <c r="D89" s="7">
        <v>5688058.5999999996</v>
      </c>
    </row>
    <row r="90" spans="1:4" x14ac:dyDescent="0.25">
      <c r="A90">
        <v>89</v>
      </c>
      <c r="B90" t="s">
        <v>2175</v>
      </c>
      <c r="C90" s="5">
        <v>4407153.9000000004</v>
      </c>
      <c r="D90" s="5">
        <v>5675860.4000000004</v>
      </c>
    </row>
    <row r="91" spans="1:4" x14ac:dyDescent="0.25">
      <c r="A91">
        <v>90</v>
      </c>
      <c r="B91" t="s">
        <v>2176</v>
      </c>
      <c r="C91" s="5">
        <v>4412813.0999999996</v>
      </c>
      <c r="D91" s="3">
        <v>5673346.7999999998</v>
      </c>
    </row>
    <row r="92" spans="1:4" x14ac:dyDescent="0.25">
      <c r="A92">
        <v>91</v>
      </c>
      <c r="B92" t="s">
        <v>2177</v>
      </c>
      <c r="C92" s="4">
        <v>4412088.5999999996</v>
      </c>
      <c r="D92" s="4">
        <v>5672293.0999999996</v>
      </c>
    </row>
    <row r="93" spans="1:4" x14ac:dyDescent="0.25">
      <c r="A93">
        <v>92</v>
      </c>
      <c r="B93" t="s">
        <v>2178</v>
      </c>
      <c r="C93" s="5">
        <v>4405252.7</v>
      </c>
      <c r="D93" s="5">
        <v>5677194.5999999996</v>
      </c>
    </row>
    <row r="94" spans="1:4" x14ac:dyDescent="0.25">
      <c r="A94">
        <v>93</v>
      </c>
      <c r="B94" t="s">
        <v>2179</v>
      </c>
      <c r="C94" s="6">
        <v>4408170.9000000004</v>
      </c>
      <c r="D94" s="5">
        <v>5674603.5999999996</v>
      </c>
    </row>
    <row r="95" spans="1:4" x14ac:dyDescent="0.25">
      <c r="A95">
        <v>94</v>
      </c>
      <c r="B95" t="s">
        <v>2180</v>
      </c>
      <c r="C95" s="5">
        <v>4411141.7</v>
      </c>
      <c r="D95" s="5">
        <v>5673001.0999999996</v>
      </c>
    </row>
    <row r="96" spans="1:4" x14ac:dyDescent="0.25">
      <c r="A96">
        <v>95</v>
      </c>
      <c r="B96" t="s">
        <v>2181</v>
      </c>
      <c r="C96" s="4">
        <v>4410582.3</v>
      </c>
      <c r="D96" s="4">
        <v>5674918.7999999998</v>
      </c>
    </row>
    <row r="97" spans="1:4" x14ac:dyDescent="0.25">
      <c r="A97">
        <v>96</v>
      </c>
      <c r="B97" t="s">
        <v>2182</v>
      </c>
      <c r="C97" s="5">
        <v>4413674.7</v>
      </c>
      <c r="D97" s="5">
        <v>5672559.7999999998</v>
      </c>
    </row>
    <row r="98" spans="1:4" x14ac:dyDescent="0.25">
      <c r="A98">
        <v>97</v>
      </c>
      <c r="B98" t="s">
        <v>2183</v>
      </c>
      <c r="C98" s="4">
        <v>4407529.66</v>
      </c>
      <c r="D98" s="4">
        <v>5674411.2000000002</v>
      </c>
    </row>
    <row r="99" spans="1:4" x14ac:dyDescent="0.25">
      <c r="A99">
        <v>98</v>
      </c>
      <c r="B99" t="s">
        <v>2184</v>
      </c>
      <c r="C99" s="4">
        <v>4407448.2</v>
      </c>
      <c r="D99" s="4">
        <v>5676689.5999999996</v>
      </c>
    </row>
    <row r="100" spans="1:4" x14ac:dyDescent="0.25">
      <c r="A100">
        <v>99</v>
      </c>
      <c r="B100" t="s">
        <v>2185</v>
      </c>
      <c r="C100" s="4">
        <v>4409839.7</v>
      </c>
      <c r="D100" s="4">
        <v>5676763</v>
      </c>
    </row>
    <row r="101" spans="1:4" x14ac:dyDescent="0.25">
      <c r="A101">
        <v>100</v>
      </c>
      <c r="B101" t="s">
        <v>2186</v>
      </c>
      <c r="C101" s="5">
        <v>4410409.8</v>
      </c>
      <c r="D101" s="5">
        <v>5673305.5</v>
      </c>
    </row>
    <row r="102" spans="1:4" x14ac:dyDescent="0.25">
      <c r="A102">
        <v>101</v>
      </c>
      <c r="B102" t="s">
        <v>2187</v>
      </c>
      <c r="C102" s="6">
        <v>4409471.5</v>
      </c>
      <c r="D102" s="5">
        <v>5674140.7000000002</v>
      </c>
    </row>
    <row r="103" spans="1:4" x14ac:dyDescent="0.25">
      <c r="A103">
        <v>102</v>
      </c>
      <c r="B103" t="s">
        <v>2188</v>
      </c>
      <c r="C103" s="5">
        <v>4410358.8</v>
      </c>
      <c r="D103" s="5">
        <v>5673889.2000000002</v>
      </c>
    </row>
    <row r="104" spans="1:4" x14ac:dyDescent="0.25">
      <c r="A104">
        <v>103</v>
      </c>
      <c r="B104" t="s">
        <v>2189</v>
      </c>
      <c r="C104" s="5">
        <v>4411911.5</v>
      </c>
      <c r="D104" s="5">
        <v>5672953.7999999998</v>
      </c>
    </row>
    <row r="105" spans="1:4" x14ac:dyDescent="0.25">
      <c r="A105">
        <v>104</v>
      </c>
      <c r="B105" t="s">
        <v>2190</v>
      </c>
      <c r="C105" s="6">
        <v>4409135.4000000004</v>
      </c>
      <c r="D105" s="5">
        <v>5674682.7000000002</v>
      </c>
    </row>
    <row r="106" spans="1:4" x14ac:dyDescent="0.25">
      <c r="A106">
        <v>105</v>
      </c>
      <c r="B106" t="s">
        <v>2191</v>
      </c>
      <c r="C106" s="6">
        <v>4412249.9000000004</v>
      </c>
      <c r="D106" s="5">
        <v>5673731.4000000004</v>
      </c>
    </row>
    <row r="107" spans="1:4" x14ac:dyDescent="0.25">
      <c r="A107">
        <v>106</v>
      </c>
      <c r="B107" t="s">
        <v>2192</v>
      </c>
      <c r="C107" s="5">
        <v>4409824.4000000004</v>
      </c>
      <c r="D107" s="5">
        <v>5676277.5999999996</v>
      </c>
    </row>
    <row r="108" spans="1:4" x14ac:dyDescent="0.25">
      <c r="A108">
        <v>107</v>
      </c>
      <c r="B108" t="s">
        <v>2193</v>
      </c>
      <c r="C108" s="5">
        <v>4411487</v>
      </c>
      <c r="D108" s="5">
        <v>5672625</v>
      </c>
    </row>
    <row r="109" spans="1:4" x14ac:dyDescent="0.25">
      <c r="A109">
        <v>108</v>
      </c>
      <c r="B109" t="s">
        <v>2194</v>
      </c>
      <c r="C109" s="3">
        <v>4409651.5999999996</v>
      </c>
      <c r="D109" s="3">
        <v>5674827.0999999996</v>
      </c>
    </row>
    <row r="110" spans="1:4" x14ac:dyDescent="0.25">
      <c r="A110">
        <v>109</v>
      </c>
      <c r="B110" t="s">
        <v>2195</v>
      </c>
      <c r="C110" s="6">
        <v>4411001.0999999996</v>
      </c>
      <c r="D110" s="5">
        <v>5672731.9000000004</v>
      </c>
    </row>
    <row r="111" spans="1:4" x14ac:dyDescent="0.25">
      <c r="A111">
        <v>110</v>
      </c>
      <c r="B111" t="s">
        <v>2196</v>
      </c>
      <c r="C111" s="5">
        <v>4410860.9000000004</v>
      </c>
      <c r="D111" s="5">
        <v>5673497.7999999998</v>
      </c>
    </row>
    <row r="112" spans="1:4" x14ac:dyDescent="0.25">
      <c r="A112">
        <v>111</v>
      </c>
      <c r="B112" t="s">
        <v>2197</v>
      </c>
      <c r="C112" s="7">
        <v>4411570.9000000004</v>
      </c>
      <c r="D112" s="7">
        <v>5672059.7999999998</v>
      </c>
    </row>
    <row r="113" spans="1:4" x14ac:dyDescent="0.25">
      <c r="A113">
        <v>112</v>
      </c>
      <c r="B113" t="s">
        <v>2198</v>
      </c>
      <c r="C113" s="4">
        <v>4404274.7</v>
      </c>
      <c r="D113" s="4">
        <v>5650408.1600000001</v>
      </c>
    </row>
    <row r="114" spans="1:4" x14ac:dyDescent="0.25">
      <c r="A114">
        <v>113</v>
      </c>
      <c r="B114" t="s">
        <v>2199</v>
      </c>
      <c r="C114" s="4">
        <v>4407479.8</v>
      </c>
      <c r="D114" s="4">
        <v>5650945</v>
      </c>
    </row>
    <row r="115" spans="1:4" x14ac:dyDescent="0.25">
      <c r="A115">
        <v>114</v>
      </c>
      <c r="B115" t="s">
        <v>2200</v>
      </c>
      <c r="C115" s="4">
        <v>4405725.4000000004</v>
      </c>
      <c r="D115" s="4">
        <v>5647666.9000000004</v>
      </c>
    </row>
    <row r="116" spans="1:4" x14ac:dyDescent="0.25">
      <c r="A116">
        <v>115</v>
      </c>
      <c r="B116" t="s">
        <v>2201</v>
      </c>
      <c r="C116" s="4">
        <v>4406802.9000000004</v>
      </c>
      <c r="D116" s="4">
        <v>5648043.5</v>
      </c>
    </row>
    <row r="117" spans="1:4" x14ac:dyDescent="0.25">
      <c r="A117">
        <v>116</v>
      </c>
      <c r="B117" t="s">
        <v>2202</v>
      </c>
      <c r="C117" s="7">
        <v>4376471.4000000004</v>
      </c>
      <c r="D117" s="7">
        <v>5684737.6299999999</v>
      </c>
    </row>
    <row r="118" spans="1:4" x14ac:dyDescent="0.25">
      <c r="A118">
        <v>117</v>
      </c>
      <c r="B118" t="s">
        <v>2203</v>
      </c>
    </row>
    <row r="119" spans="1:4" x14ac:dyDescent="0.25">
      <c r="A119">
        <v>118</v>
      </c>
      <c r="B119" t="s">
        <v>2204</v>
      </c>
      <c r="C119" s="5">
        <v>4411504.3</v>
      </c>
      <c r="D119" s="5">
        <v>5665712.7999999998</v>
      </c>
    </row>
    <row r="120" spans="1:4" x14ac:dyDescent="0.25">
      <c r="A120">
        <v>119</v>
      </c>
      <c r="B120" t="s">
        <v>2205</v>
      </c>
      <c r="C120" s="6">
        <v>4409819.4000000004</v>
      </c>
      <c r="D120" s="5">
        <v>5666110.9000000004</v>
      </c>
    </row>
    <row r="121" spans="1:4" x14ac:dyDescent="0.25">
      <c r="A121">
        <v>120</v>
      </c>
      <c r="B121" t="s">
        <v>2206</v>
      </c>
      <c r="C121" s="5">
        <v>4409749.4000000004</v>
      </c>
      <c r="D121" s="5">
        <v>5667207.5</v>
      </c>
    </row>
    <row r="122" spans="1:4" x14ac:dyDescent="0.25">
      <c r="A122">
        <v>121</v>
      </c>
      <c r="B122" t="s">
        <v>2207</v>
      </c>
      <c r="C122" s="5">
        <v>4410459.5999999996</v>
      </c>
      <c r="D122" s="5">
        <v>5666804.5</v>
      </c>
    </row>
    <row r="123" spans="1:4" x14ac:dyDescent="0.25">
      <c r="A123">
        <v>122</v>
      </c>
      <c r="B123" t="s">
        <v>2208</v>
      </c>
      <c r="C123" s="5">
        <v>4408731.0999999996</v>
      </c>
      <c r="D123" s="5">
        <v>5668526.2000000002</v>
      </c>
    </row>
    <row r="124" spans="1:4" x14ac:dyDescent="0.25">
      <c r="A124">
        <v>123</v>
      </c>
      <c r="B124" t="s">
        <v>2209</v>
      </c>
      <c r="C124" s="4">
        <v>4406132.1500000004</v>
      </c>
      <c r="D124" s="4">
        <v>5670642.2999999998</v>
      </c>
    </row>
    <row r="125" spans="1:4" x14ac:dyDescent="0.25">
      <c r="A125">
        <v>124</v>
      </c>
      <c r="B125" t="s">
        <v>2210</v>
      </c>
      <c r="C125" s="5">
        <v>4410553</v>
      </c>
      <c r="D125" s="5">
        <v>5665310.7999999998</v>
      </c>
    </row>
    <row r="126" spans="1:4" x14ac:dyDescent="0.25">
      <c r="A126">
        <v>125</v>
      </c>
      <c r="B126" t="s">
        <v>2211</v>
      </c>
      <c r="C126" s="5">
        <v>4411469.5</v>
      </c>
      <c r="D126" s="5">
        <v>5665143.5</v>
      </c>
    </row>
    <row r="127" spans="1:4" x14ac:dyDescent="0.25">
      <c r="A127">
        <v>126</v>
      </c>
      <c r="B127" t="s">
        <v>2212</v>
      </c>
      <c r="C127" s="7">
        <v>4363304.26</v>
      </c>
      <c r="D127" s="7">
        <v>5621430.5099999998</v>
      </c>
    </row>
    <row r="128" spans="1:4" x14ac:dyDescent="0.25">
      <c r="A128">
        <v>127</v>
      </c>
      <c r="B128" t="s">
        <v>2213</v>
      </c>
      <c r="C128" s="7">
        <v>4361560.3499999996</v>
      </c>
      <c r="D128" s="7">
        <v>5626866.3200000003</v>
      </c>
    </row>
    <row r="129" spans="1:4" x14ac:dyDescent="0.25">
      <c r="A129">
        <v>128</v>
      </c>
      <c r="B129" t="s">
        <v>2214</v>
      </c>
      <c r="C129" s="4">
        <v>4444744.2</v>
      </c>
      <c r="D129" s="4">
        <v>5659855.2999999998</v>
      </c>
    </row>
    <row r="130" spans="1:4" x14ac:dyDescent="0.25">
      <c r="A130">
        <v>129</v>
      </c>
      <c r="B130" t="s">
        <v>2215</v>
      </c>
      <c r="C130" s="7">
        <v>4364330.5</v>
      </c>
      <c r="D130" s="7">
        <v>5632375.6399999997</v>
      </c>
    </row>
    <row r="131" spans="1:4" x14ac:dyDescent="0.25">
      <c r="A131">
        <v>130</v>
      </c>
      <c r="B131" t="s">
        <v>2216</v>
      </c>
      <c r="C131" s="7">
        <v>4397244.3</v>
      </c>
      <c r="D131" s="7">
        <v>5648939.5999999996</v>
      </c>
    </row>
    <row r="132" spans="1:4" x14ac:dyDescent="0.25">
      <c r="A132">
        <v>131</v>
      </c>
      <c r="B132" t="s">
        <v>2217</v>
      </c>
      <c r="C132" s="7">
        <v>4396807</v>
      </c>
      <c r="D132" s="7">
        <v>5647799.7000000002</v>
      </c>
    </row>
    <row r="133" spans="1:4" x14ac:dyDescent="0.25">
      <c r="A133">
        <v>132</v>
      </c>
      <c r="B133" t="s">
        <v>2218</v>
      </c>
      <c r="C133" s="4">
        <v>4397735</v>
      </c>
      <c r="D133" s="4">
        <v>5650109.5999999996</v>
      </c>
    </row>
    <row r="134" spans="1:4" x14ac:dyDescent="0.25">
      <c r="A134">
        <v>133</v>
      </c>
      <c r="B134" t="s">
        <v>2219</v>
      </c>
      <c r="C134" s="4">
        <v>4395206.5</v>
      </c>
      <c r="D134" s="4">
        <v>5649575.9000000004</v>
      </c>
    </row>
    <row r="135" spans="1:4" x14ac:dyDescent="0.25">
      <c r="A135">
        <v>134</v>
      </c>
      <c r="B135" t="s">
        <v>2220</v>
      </c>
      <c r="C135" s="4">
        <v>4407219.9000000004</v>
      </c>
      <c r="D135" s="4">
        <v>5683254.7000000002</v>
      </c>
    </row>
    <row r="136" spans="1:4" x14ac:dyDescent="0.25">
      <c r="A136">
        <v>135</v>
      </c>
      <c r="B136" t="s">
        <v>2221</v>
      </c>
      <c r="C136" s="5">
        <v>4407284.5</v>
      </c>
      <c r="D136" s="5">
        <v>5682709.2999999998</v>
      </c>
    </row>
    <row r="137" spans="1:4" x14ac:dyDescent="0.25">
      <c r="A137">
        <v>136</v>
      </c>
      <c r="B137" t="s">
        <v>2222</v>
      </c>
      <c r="C137" s="7">
        <v>4390345.34</v>
      </c>
      <c r="D137" s="7">
        <v>5613464</v>
      </c>
    </row>
    <row r="138" spans="1:4" x14ac:dyDescent="0.25">
      <c r="A138">
        <v>137</v>
      </c>
      <c r="B138" t="s">
        <v>2223</v>
      </c>
      <c r="C138" s="7">
        <v>4419059.9000000004</v>
      </c>
      <c r="D138" s="7">
        <v>5645289.2000000002</v>
      </c>
    </row>
    <row r="139" spans="1:4" x14ac:dyDescent="0.25">
      <c r="A139">
        <v>138</v>
      </c>
      <c r="B139" t="s">
        <v>2224</v>
      </c>
      <c r="C139" s="7">
        <v>4419648</v>
      </c>
      <c r="D139" s="7">
        <v>5646283.0999999996</v>
      </c>
    </row>
    <row r="140" spans="1:4" x14ac:dyDescent="0.25">
      <c r="A140">
        <v>139</v>
      </c>
      <c r="B140" t="s">
        <v>2225</v>
      </c>
      <c r="C140" s="7">
        <v>4420555.2</v>
      </c>
      <c r="D140" s="7">
        <v>5644215.0999999996</v>
      </c>
    </row>
    <row r="141" spans="1:4" x14ac:dyDescent="0.25">
      <c r="A141">
        <v>140</v>
      </c>
      <c r="B141" t="s">
        <v>2226</v>
      </c>
      <c r="C141" s="4">
        <v>4418490.5</v>
      </c>
      <c r="D141" s="4">
        <v>5644391.2000000002</v>
      </c>
    </row>
    <row r="142" spans="1:4" x14ac:dyDescent="0.25">
      <c r="A142">
        <v>141</v>
      </c>
      <c r="B142" t="s">
        <v>2227</v>
      </c>
      <c r="C142" s="7">
        <v>4447158</v>
      </c>
      <c r="D142" s="7">
        <v>5661943.2000000002</v>
      </c>
    </row>
    <row r="143" spans="1:4" x14ac:dyDescent="0.25">
      <c r="A143">
        <v>142</v>
      </c>
      <c r="B143" t="s">
        <v>2228</v>
      </c>
      <c r="C143" s="7">
        <v>4448980.5</v>
      </c>
      <c r="D143" s="7">
        <v>5661518.0999999996</v>
      </c>
    </row>
    <row r="144" spans="1:4" x14ac:dyDescent="0.25">
      <c r="A144">
        <v>143</v>
      </c>
      <c r="B144" t="s">
        <v>2229</v>
      </c>
      <c r="C144" s="7">
        <v>4407599</v>
      </c>
      <c r="D144" s="7">
        <v>5699888.0999999996</v>
      </c>
    </row>
    <row r="145" spans="1:4" x14ac:dyDescent="0.25">
      <c r="A145">
        <v>144</v>
      </c>
      <c r="B145" t="s">
        <v>2230</v>
      </c>
      <c r="C145" s="7">
        <v>4411691.5999999996</v>
      </c>
      <c r="D145" s="7">
        <v>5698846.9000000004</v>
      </c>
    </row>
    <row r="146" spans="1:4" x14ac:dyDescent="0.25">
      <c r="A146">
        <v>145</v>
      </c>
      <c r="B146" t="s">
        <v>2231</v>
      </c>
      <c r="C146" s="7">
        <v>4410735.8</v>
      </c>
      <c r="D146" s="7">
        <v>5698224.5999999996</v>
      </c>
    </row>
    <row r="147" spans="1:4" x14ac:dyDescent="0.25">
      <c r="A147">
        <v>146</v>
      </c>
      <c r="B147" t="s">
        <v>2232</v>
      </c>
    </row>
    <row r="148" spans="1:4" x14ac:dyDescent="0.25">
      <c r="A148">
        <v>147</v>
      </c>
      <c r="B148" t="s">
        <v>2233</v>
      </c>
      <c r="C148" s="7">
        <v>4408553.2</v>
      </c>
      <c r="D148" s="7">
        <v>5622025.2000000002</v>
      </c>
    </row>
    <row r="149" spans="1:4" x14ac:dyDescent="0.25">
      <c r="A149">
        <v>148</v>
      </c>
      <c r="B149" t="s">
        <v>2234</v>
      </c>
    </row>
    <row r="150" spans="1:4" x14ac:dyDescent="0.25">
      <c r="A150">
        <v>149</v>
      </c>
      <c r="B150" t="s">
        <v>2235</v>
      </c>
      <c r="C150" s="4">
        <v>4363553.96</v>
      </c>
      <c r="D150" s="4">
        <v>5623413.9400000004</v>
      </c>
    </row>
    <row r="151" spans="1:4" x14ac:dyDescent="0.25">
      <c r="A151">
        <v>150</v>
      </c>
      <c r="B151" t="s">
        <v>2236</v>
      </c>
      <c r="C151" s="7">
        <v>4382116.0999999996</v>
      </c>
      <c r="D151" s="7">
        <v>5697798.79</v>
      </c>
    </row>
    <row r="152" spans="1:4" x14ac:dyDescent="0.25">
      <c r="A152">
        <v>151</v>
      </c>
      <c r="B152" t="s">
        <v>2237</v>
      </c>
      <c r="C152" s="7">
        <v>4529649.5</v>
      </c>
      <c r="D152" s="7">
        <v>5636232</v>
      </c>
    </row>
    <row r="153" spans="1:4" x14ac:dyDescent="0.25">
      <c r="A153">
        <v>152</v>
      </c>
      <c r="B153" t="s">
        <v>2238</v>
      </c>
      <c r="C153" s="7">
        <v>4453876</v>
      </c>
      <c r="D153" s="7">
        <v>5654617</v>
      </c>
    </row>
    <row r="154" spans="1:4" x14ac:dyDescent="0.25">
      <c r="A154">
        <v>153</v>
      </c>
      <c r="B154" t="s">
        <v>2239</v>
      </c>
      <c r="C154" s="7">
        <v>4448775.3</v>
      </c>
      <c r="D154" s="7">
        <v>5658391.7000000002</v>
      </c>
    </row>
    <row r="155" spans="1:4" x14ac:dyDescent="0.25">
      <c r="A155">
        <v>154</v>
      </c>
      <c r="B155" t="s">
        <v>2240</v>
      </c>
      <c r="C155" s="7">
        <v>4393768.78</v>
      </c>
      <c r="D155" s="7">
        <v>5593079.46</v>
      </c>
    </row>
    <row r="156" spans="1:4" x14ac:dyDescent="0.25">
      <c r="A156">
        <v>155</v>
      </c>
      <c r="B156" t="s">
        <v>2291</v>
      </c>
      <c r="C156" s="7">
        <v>4408893.3</v>
      </c>
      <c r="D156" s="7">
        <v>5682075.2999999998</v>
      </c>
    </row>
    <row r="157" spans="1:4" x14ac:dyDescent="0.25">
      <c r="A157">
        <v>156</v>
      </c>
      <c r="B157" t="s">
        <v>2293</v>
      </c>
      <c r="C157" s="3">
        <v>4408988</v>
      </c>
      <c r="D157" s="3">
        <v>5682958</v>
      </c>
    </row>
    <row r="158" spans="1:4" x14ac:dyDescent="0.25">
      <c r="A158">
        <v>157</v>
      </c>
      <c r="B158" t="s">
        <v>2294</v>
      </c>
      <c r="C158" s="5">
        <v>4409160.2</v>
      </c>
      <c r="D158" s="5">
        <v>5683434.2000000002</v>
      </c>
    </row>
    <row r="159" spans="1:4" x14ac:dyDescent="0.25">
      <c r="A159">
        <v>158</v>
      </c>
      <c r="B159" t="s">
        <v>2295</v>
      </c>
      <c r="C159" s="5">
        <v>4408463.8</v>
      </c>
      <c r="D159" s="5">
        <v>5682159.7000000002</v>
      </c>
    </row>
    <row r="160" spans="1:4" x14ac:dyDescent="0.25">
      <c r="A160">
        <v>159</v>
      </c>
      <c r="B160" t="s">
        <v>2296</v>
      </c>
      <c r="C160" s="4">
        <v>4409585</v>
      </c>
      <c r="D160" s="4">
        <v>5681999</v>
      </c>
    </row>
    <row r="161" spans="1:4" x14ac:dyDescent="0.25">
      <c r="A161">
        <v>160</v>
      </c>
      <c r="B161" t="s">
        <v>2241</v>
      </c>
      <c r="C161" s="7">
        <v>4453973.0999999996</v>
      </c>
      <c r="D161" s="7">
        <v>5671143</v>
      </c>
    </row>
    <row r="162" spans="1:4" x14ac:dyDescent="0.25">
      <c r="A162">
        <v>161</v>
      </c>
      <c r="B162" t="s">
        <v>2242</v>
      </c>
      <c r="C162" s="7">
        <v>4410104.7</v>
      </c>
      <c r="D162" s="7">
        <v>5605004.0999999996</v>
      </c>
    </row>
    <row r="163" spans="1:4" x14ac:dyDescent="0.25">
      <c r="A163">
        <v>162</v>
      </c>
      <c r="B163" t="s">
        <v>2243</v>
      </c>
      <c r="C163" s="7">
        <v>4409743.7</v>
      </c>
      <c r="D163" s="7">
        <v>5679562.7999999998</v>
      </c>
    </row>
    <row r="164" spans="1:4" x14ac:dyDescent="0.25">
      <c r="A164">
        <v>163</v>
      </c>
      <c r="B164" t="s">
        <v>2244</v>
      </c>
      <c r="C164" s="4">
        <v>4363622</v>
      </c>
      <c r="D164" s="4">
        <v>5628075.6600000001</v>
      </c>
    </row>
    <row r="165" spans="1:4" x14ac:dyDescent="0.25">
      <c r="A165">
        <v>164</v>
      </c>
      <c r="B165" t="s">
        <v>2245</v>
      </c>
      <c r="C165" s="4">
        <v>4363385.1500000004</v>
      </c>
      <c r="D165" s="4">
        <v>5627310.71</v>
      </c>
    </row>
    <row r="166" spans="1:4" x14ac:dyDescent="0.25">
      <c r="A166">
        <v>165</v>
      </c>
      <c r="B166" t="s">
        <v>2246</v>
      </c>
      <c r="C166" s="7">
        <v>4415659.8</v>
      </c>
      <c r="D166" s="7">
        <v>5642437.0999999996</v>
      </c>
    </row>
    <row r="167" spans="1:4" x14ac:dyDescent="0.25">
      <c r="A167">
        <v>166</v>
      </c>
      <c r="B167" t="s">
        <v>2247</v>
      </c>
      <c r="C167" s="7">
        <v>4429280.5999999996</v>
      </c>
      <c r="D167" s="7">
        <v>5668426.4000000004</v>
      </c>
    </row>
    <row r="168" spans="1:4" x14ac:dyDescent="0.25">
      <c r="A168">
        <v>167</v>
      </c>
      <c r="B168" t="s">
        <v>2248</v>
      </c>
      <c r="C168" s="7">
        <v>4428999.4000000004</v>
      </c>
      <c r="D168" s="7">
        <v>5671551.2999999998</v>
      </c>
    </row>
    <row r="169" spans="1:4" x14ac:dyDescent="0.25">
      <c r="A169">
        <v>168</v>
      </c>
      <c r="B169" t="s">
        <v>2249</v>
      </c>
      <c r="C169" s="7">
        <v>4430016.5999999996</v>
      </c>
      <c r="D169" s="7">
        <v>5671989.2000000002</v>
      </c>
    </row>
    <row r="170" spans="1:4" x14ac:dyDescent="0.25">
      <c r="A170">
        <v>169</v>
      </c>
      <c r="B170" t="s">
        <v>2250</v>
      </c>
      <c r="C170" s="7">
        <v>4428991.2</v>
      </c>
      <c r="D170" s="7">
        <v>5671561.5</v>
      </c>
    </row>
    <row r="171" spans="1:4" x14ac:dyDescent="0.25">
      <c r="A171">
        <v>170</v>
      </c>
      <c r="B171" t="s">
        <v>2251</v>
      </c>
    </row>
    <row r="172" spans="1:4" x14ac:dyDescent="0.25">
      <c r="A172">
        <v>171</v>
      </c>
      <c r="B172" t="s">
        <v>2252</v>
      </c>
      <c r="C172" s="8">
        <v>4428226.9000000004</v>
      </c>
      <c r="D172" s="7">
        <v>5672499.7999999998</v>
      </c>
    </row>
    <row r="173" spans="1:4" x14ac:dyDescent="0.25">
      <c r="A173">
        <v>172</v>
      </c>
      <c r="B173" t="s">
        <v>2253</v>
      </c>
      <c r="C173" s="7">
        <v>4429835.3</v>
      </c>
      <c r="D173" s="7">
        <v>5671174</v>
      </c>
    </row>
    <row r="174" spans="1:4" x14ac:dyDescent="0.25">
      <c r="A174">
        <v>173</v>
      </c>
      <c r="B174" t="s">
        <v>2254</v>
      </c>
      <c r="C174" s="7">
        <v>4396762.5</v>
      </c>
      <c r="D174" s="7">
        <v>5623470.7999999998</v>
      </c>
    </row>
    <row r="175" spans="1:4" x14ac:dyDescent="0.25">
      <c r="A175">
        <v>174</v>
      </c>
      <c r="B175" t="s">
        <v>2255</v>
      </c>
      <c r="C175" s="5">
        <v>4417218.9000000004</v>
      </c>
      <c r="D175" s="5">
        <v>5669625.0999999996</v>
      </c>
    </row>
    <row r="176" spans="1:4" x14ac:dyDescent="0.25">
      <c r="A176">
        <v>175</v>
      </c>
      <c r="B176" t="s">
        <v>2256</v>
      </c>
      <c r="C176" s="4">
        <v>4417308.2</v>
      </c>
      <c r="D176" s="4">
        <v>5669285.7000000002</v>
      </c>
    </row>
    <row r="177" spans="1:4" x14ac:dyDescent="0.25">
      <c r="A177">
        <v>176</v>
      </c>
      <c r="B177" t="s">
        <v>2272</v>
      </c>
      <c r="C177" s="7">
        <v>4405009.7</v>
      </c>
      <c r="D177" s="7">
        <v>5597323.5</v>
      </c>
    </row>
    <row r="178" spans="1:4" x14ac:dyDescent="0.25">
      <c r="A178">
        <v>177</v>
      </c>
      <c r="B178" t="s">
        <v>2257</v>
      </c>
      <c r="C178" s="7">
        <v>4398404.7</v>
      </c>
      <c r="D178" s="7">
        <v>5595329.5999999996</v>
      </c>
    </row>
    <row r="179" spans="1:4" x14ac:dyDescent="0.25">
      <c r="A179">
        <v>178</v>
      </c>
      <c r="B179" t="s">
        <v>2258</v>
      </c>
    </row>
    <row r="180" spans="1:4" x14ac:dyDescent="0.25">
      <c r="A180">
        <v>179</v>
      </c>
      <c r="B180" t="s">
        <v>2259</v>
      </c>
      <c r="C180" s="7">
        <v>4398401.5999999996</v>
      </c>
      <c r="D180" s="7">
        <v>5690263</v>
      </c>
    </row>
    <row r="181" spans="1:4" x14ac:dyDescent="0.25">
      <c r="A181">
        <v>180</v>
      </c>
      <c r="B181" t="s">
        <v>2260</v>
      </c>
      <c r="C181" s="7">
        <v>4446937.5</v>
      </c>
      <c r="D181" s="7">
        <v>5652233.2999999998</v>
      </c>
    </row>
    <row r="182" spans="1:4" x14ac:dyDescent="0.25">
      <c r="A182">
        <v>181</v>
      </c>
      <c r="B182" t="s">
        <v>2262</v>
      </c>
      <c r="C182" s="5">
        <v>4398647.3</v>
      </c>
      <c r="D182" s="5">
        <v>5659706.2000000002</v>
      </c>
    </row>
    <row r="183" spans="1:4" x14ac:dyDescent="0.25">
      <c r="A183">
        <v>182</v>
      </c>
      <c r="B183" t="s">
        <v>2263</v>
      </c>
      <c r="C183" s="7">
        <v>4371941.5</v>
      </c>
      <c r="D183" s="7">
        <v>5618980.6900000004</v>
      </c>
    </row>
    <row r="184" spans="1:4" x14ac:dyDescent="0.25">
      <c r="A184">
        <v>183</v>
      </c>
      <c r="B184" t="s">
        <v>2264</v>
      </c>
      <c r="C184" s="7">
        <v>4425849.0999999996</v>
      </c>
      <c r="D184" s="7">
        <v>5620667.5999999996</v>
      </c>
    </row>
    <row r="185" spans="1:4" x14ac:dyDescent="0.25">
      <c r="A185">
        <v>184</v>
      </c>
      <c r="B185" t="s">
        <v>2265</v>
      </c>
      <c r="C185" s="3">
        <v>4499494.4000000004</v>
      </c>
      <c r="D185" s="3">
        <v>5659647.5999999996</v>
      </c>
    </row>
    <row r="186" spans="1:4" x14ac:dyDescent="0.25">
      <c r="A186">
        <v>185</v>
      </c>
      <c r="B186" t="s">
        <v>2266</v>
      </c>
      <c r="C186" s="7">
        <v>4408004.5999999996</v>
      </c>
      <c r="D186" s="7">
        <v>5616842</v>
      </c>
    </row>
    <row r="187" spans="1:4" x14ac:dyDescent="0.25">
      <c r="A187">
        <v>186</v>
      </c>
      <c r="B187" t="s">
        <v>2267</v>
      </c>
      <c r="C187" s="7">
        <v>4475767.4000000004</v>
      </c>
      <c r="D187" s="7">
        <v>5608475.2999999998</v>
      </c>
    </row>
    <row r="188" spans="1:4" x14ac:dyDescent="0.25">
      <c r="A188">
        <v>187</v>
      </c>
      <c r="B188" t="s">
        <v>2268</v>
      </c>
      <c r="C188" s="7">
        <v>4477417.9000000004</v>
      </c>
      <c r="D188" s="7">
        <v>5595879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C2" sqref="C2"/>
    </sheetView>
  </sheetViews>
  <sheetFormatPr baseColWidth="10" defaultRowHeight="15" x14ac:dyDescent="0.25"/>
  <cols>
    <col min="2" max="2" width="18.140625" bestFit="1" customWidth="1"/>
  </cols>
  <sheetData>
    <row r="1" spans="1:3" x14ac:dyDescent="0.25">
      <c r="A1" t="s">
        <v>2087</v>
      </c>
      <c r="B1" t="s">
        <v>2340</v>
      </c>
      <c r="C1" t="s">
        <v>2086</v>
      </c>
    </row>
    <row r="2" spans="1:3" x14ac:dyDescent="0.25">
      <c r="A2">
        <v>1</v>
      </c>
      <c r="B2" t="s">
        <v>2297</v>
      </c>
      <c r="C2" t="s">
        <v>2320</v>
      </c>
    </row>
    <row r="3" spans="1:3" x14ac:dyDescent="0.25">
      <c r="A3">
        <v>2</v>
      </c>
      <c r="B3" t="s">
        <v>2298</v>
      </c>
      <c r="C3" t="s">
        <v>2273</v>
      </c>
    </row>
    <row r="4" spans="1:3" x14ac:dyDescent="0.25">
      <c r="A4">
        <v>3</v>
      </c>
      <c r="B4" t="s">
        <v>2299</v>
      </c>
      <c r="C4" t="s">
        <v>2321</v>
      </c>
    </row>
    <row r="5" spans="1:3" x14ac:dyDescent="0.25">
      <c r="A5">
        <v>4</v>
      </c>
      <c r="B5" t="s">
        <v>2300</v>
      </c>
      <c r="C5" t="s">
        <v>2322</v>
      </c>
    </row>
    <row r="6" spans="1:3" x14ac:dyDescent="0.25">
      <c r="A6">
        <v>5</v>
      </c>
      <c r="B6" t="s">
        <v>2301</v>
      </c>
      <c r="C6" t="s">
        <v>2323</v>
      </c>
    </row>
    <row r="7" spans="1:3" x14ac:dyDescent="0.25">
      <c r="A7">
        <v>6</v>
      </c>
      <c r="B7" t="s">
        <v>2302</v>
      </c>
      <c r="C7" t="s">
        <v>2324</v>
      </c>
    </row>
    <row r="8" spans="1:3" x14ac:dyDescent="0.25">
      <c r="A8">
        <v>7</v>
      </c>
      <c r="B8" t="s">
        <v>2303</v>
      </c>
      <c r="C8" t="s">
        <v>2325</v>
      </c>
    </row>
    <row r="9" spans="1:3" x14ac:dyDescent="0.25">
      <c r="A9">
        <v>8</v>
      </c>
      <c r="B9" t="s">
        <v>2304</v>
      </c>
      <c r="C9" t="s">
        <v>2326</v>
      </c>
    </row>
    <row r="10" spans="1:3" x14ac:dyDescent="0.25">
      <c r="A10">
        <v>9</v>
      </c>
      <c r="B10" t="s">
        <v>2305</v>
      </c>
      <c r="C10" t="s">
        <v>2327</v>
      </c>
    </row>
    <row r="11" spans="1:3" x14ac:dyDescent="0.25">
      <c r="A11">
        <v>10</v>
      </c>
      <c r="B11" t="s">
        <v>2306</v>
      </c>
      <c r="C11" t="s">
        <v>2328</v>
      </c>
    </row>
    <row r="12" spans="1:3" x14ac:dyDescent="0.25">
      <c r="A12">
        <v>11</v>
      </c>
      <c r="B12" t="s">
        <v>2307</v>
      </c>
      <c r="C12" t="s">
        <v>2274</v>
      </c>
    </row>
    <row r="13" spans="1:3" x14ac:dyDescent="0.25">
      <c r="A13">
        <v>12</v>
      </c>
      <c r="B13" t="s">
        <v>2308</v>
      </c>
      <c r="C13" t="s">
        <v>2329</v>
      </c>
    </row>
    <row r="14" spans="1:3" x14ac:dyDescent="0.25">
      <c r="A14">
        <v>13</v>
      </c>
      <c r="B14" t="s">
        <v>2309</v>
      </c>
      <c r="C14" t="s">
        <v>2330</v>
      </c>
    </row>
    <row r="15" spans="1:3" x14ac:dyDescent="0.25">
      <c r="A15">
        <v>14</v>
      </c>
      <c r="B15" t="s">
        <v>2310</v>
      </c>
      <c r="C15" t="s">
        <v>2331</v>
      </c>
    </row>
    <row r="16" spans="1:3" x14ac:dyDescent="0.25">
      <c r="A16">
        <v>15</v>
      </c>
      <c r="B16" t="s">
        <v>2311</v>
      </c>
      <c r="C16" t="s">
        <v>2332</v>
      </c>
    </row>
    <row r="17" spans="1:3" x14ac:dyDescent="0.25">
      <c r="A17">
        <v>16</v>
      </c>
      <c r="B17" t="s">
        <v>2312</v>
      </c>
      <c r="C17" t="s">
        <v>2333</v>
      </c>
    </row>
    <row r="18" spans="1:3" x14ac:dyDescent="0.25">
      <c r="A18">
        <v>17</v>
      </c>
      <c r="B18" t="s">
        <v>2313</v>
      </c>
      <c r="C18" t="s">
        <v>2276</v>
      </c>
    </row>
    <row r="19" spans="1:3" x14ac:dyDescent="0.25">
      <c r="A19">
        <v>18</v>
      </c>
      <c r="B19" t="s">
        <v>2314</v>
      </c>
      <c r="C19" t="s">
        <v>2334</v>
      </c>
    </row>
    <row r="20" spans="1:3" x14ac:dyDescent="0.25">
      <c r="A20">
        <v>19</v>
      </c>
      <c r="B20" t="s">
        <v>2315</v>
      </c>
      <c r="C20" t="s">
        <v>2335</v>
      </c>
    </row>
    <row r="21" spans="1:3" x14ac:dyDescent="0.25">
      <c r="A21">
        <v>20</v>
      </c>
      <c r="B21" t="s">
        <v>2316</v>
      </c>
      <c r="C21" t="s">
        <v>2336</v>
      </c>
    </row>
    <row r="22" spans="1:3" x14ac:dyDescent="0.25">
      <c r="A22">
        <v>21</v>
      </c>
      <c r="B22" t="s">
        <v>2317</v>
      </c>
      <c r="C22" t="s">
        <v>2337</v>
      </c>
    </row>
    <row r="23" spans="1:3" x14ac:dyDescent="0.25">
      <c r="A23">
        <v>22</v>
      </c>
      <c r="B23" t="s">
        <v>2318</v>
      </c>
      <c r="C23" t="s">
        <v>2338</v>
      </c>
    </row>
    <row r="24" spans="1:3" x14ac:dyDescent="0.25">
      <c r="A24">
        <v>23</v>
      </c>
      <c r="B24" t="s">
        <v>2319</v>
      </c>
      <c r="C24" t="s">
        <v>2339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"/>
  <sheetViews>
    <sheetView workbookViewId="0">
      <selection activeCell="H185" sqref="H185"/>
    </sheetView>
  </sheetViews>
  <sheetFormatPr baseColWidth="10" defaultRowHeight="15" x14ac:dyDescent="0.25"/>
  <cols>
    <col min="1" max="1" width="7.85546875" customWidth="1"/>
    <col min="2" max="2" width="34.85546875" bestFit="1" customWidth="1"/>
    <col min="3" max="3" width="12.42578125" bestFit="1" customWidth="1"/>
    <col min="4" max="4" width="12.85546875" bestFit="1" customWidth="1"/>
    <col min="5" max="5" width="48.85546875" bestFit="1" customWidth="1"/>
    <col min="6" max="6" width="19" bestFit="1" customWidth="1"/>
    <col min="7" max="7" width="18.28515625" bestFit="1" customWidth="1"/>
    <col min="8" max="8" width="15.5703125" bestFit="1" customWidth="1"/>
  </cols>
  <sheetData>
    <row r="1" spans="1:8" x14ac:dyDescent="0.25">
      <c r="A1" t="s">
        <v>2087</v>
      </c>
      <c r="B1" t="s">
        <v>2088</v>
      </c>
      <c r="C1" t="s">
        <v>2342</v>
      </c>
      <c r="D1" t="s">
        <v>2343</v>
      </c>
      <c r="E1" t="s">
        <v>2341</v>
      </c>
      <c r="F1" t="s">
        <v>2344</v>
      </c>
      <c r="G1" t="s">
        <v>2345</v>
      </c>
      <c r="H1" t="s">
        <v>2346</v>
      </c>
    </row>
    <row r="2" spans="1:8" x14ac:dyDescent="0.25">
      <c r="A2">
        <v>1</v>
      </c>
      <c r="B2" t="s">
        <v>2089</v>
      </c>
      <c r="C2">
        <v>4415490</v>
      </c>
      <c r="D2">
        <v>5675848.4000000004</v>
      </c>
      <c r="E2" t="s">
        <v>2320</v>
      </c>
    </row>
    <row r="3" spans="1:8" x14ac:dyDescent="0.25">
      <c r="A3">
        <v>2</v>
      </c>
      <c r="B3" t="s">
        <v>2090</v>
      </c>
      <c r="C3">
        <v>4407839.3</v>
      </c>
      <c r="D3">
        <v>5679498.9000000004</v>
      </c>
      <c r="E3" t="s">
        <v>2273</v>
      </c>
    </row>
    <row r="4" spans="1:8" x14ac:dyDescent="0.25">
      <c r="A4">
        <v>3</v>
      </c>
      <c r="B4" t="s">
        <v>2091</v>
      </c>
      <c r="C4">
        <v>4411971.7</v>
      </c>
      <c r="D4">
        <v>5676242.2000000002</v>
      </c>
      <c r="E4" t="s">
        <v>2273</v>
      </c>
    </row>
    <row r="5" spans="1:8" x14ac:dyDescent="0.25">
      <c r="A5">
        <v>4</v>
      </c>
      <c r="B5" t="s">
        <v>2092</v>
      </c>
      <c r="C5">
        <v>4410119.8</v>
      </c>
      <c r="D5">
        <v>5677194.7999999998</v>
      </c>
      <c r="E5" t="s">
        <v>2273</v>
      </c>
      <c r="F5" s="10">
        <v>505</v>
      </c>
      <c r="G5" s="10">
        <v>528</v>
      </c>
      <c r="H5">
        <v>539</v>
      </c>
    </row>
    <row r="6" spans="1:8" x14ac:dyDescent="0.25">
      <c r="A6">
        <v>5</v>
      </c>
      <c r="B6" t="s">
        <v>2093</v>
      </c>
      <c r="C6">
        <v>4410449.0999999996</v>
      </c>
      <c r="D6">
        <v>5677385.9000000004</v>
      </c>
      <c r="E6" t="s">
        <v>2273</v>
      </c>
      <c r="F6" s="10">
        <v>559</v>
      </c>
      <c r="G6" s="10">
        <v>565</v>
      </c>
      <c r="H6">
        <v>570</v>
      </c>
    </row>
    <row r="7" spans="1:8" x14ac:dyDescent="0.25">
      <c r="A7">
        <v>6</v>
      </c>
      <c r="B7" t="s">
        <v>2094</v>
      </c>
      <c r="C7">
        <v>4410942.4000000004</v>
      </c>
      <c r="D7">
        <v>5677743</v>
      </c>
      <c r="E7" t="s">
        <v>2273</v>
      </c>
      <c r="F7" s="10">
        <v>604</v>
      </c>
      <c r="G7" s="10">
        <v>612</v>
      </c>
      <c r="H7">
        <v>639</v>
      </c>
    </row>
    <row r="8" spans="1:8" x14ac:dyDescent="0.25">
      <c r="A8">
        <v>7</v>
      </c>
      <c r="B8" t="s">
        <v>2095</v>
      </c>
      <c r="C8">
        <v>4410185.4000000004</v>
      </c>
      <c r="D8">
        <v>5677862.9000000004</v>
      </c>
      <c r="E8" t="s">
        <v>2321</v>
      </c>
      <c r="F8" s="10">
        <v>579.5</v>
      </c>
      <c r="G8" s="10">
        <v>586.70000000000005</v>
      </c>
      <c r="H8">
        <v>595.20000000000005</v>
      </c>
    </row>
    <row r="9" spans="1:8" x14ac:dyDescent="0.25">
      <c r="A9">
        <v>8</v>
      </c>
      <c r="B9" t="s">
        <v>2096</v>
      </c>
      <c r="C9">
        <v>4411316.2</v>
      </c>
      <c r="D9">
        <v>5680498.2999999998</v>
      </c>
      <c r="E9" t="s">
        <v>2273</v>
      </c>
      <c r="F9" s="9"/>
      <c r="G9" s="9"/>
    </row>
    <row r="10" spans="1:8" x14ac:dyDescent="0.25">
      <c r="A10">
        <v>9</v>
      </c>
      <c r="B10" t="s">
        <v>2097</v>
      </c>
      <c r="C10">
        <v>4414062.0999999996</v>
      </c>
      <c r="D10">
        <v>5674935.2000000002</v>
      </c>
      <c r="E10" t="s">
        <v>2322</v>
      </c>
      <c r="F10" s="10">
        <v>569.29999999999995</v>
      </c>
      <c r="G10" s="10">
        <v>576</v>
      </c>
      <c r="H10">
        <v>582.6</v>
      </c>
    </row>
    <row r="11" spans="1:8" x14ac:dyDescent="0.25">
      <c r="A11">
        <v>10</v>
      </c>
      <c r="B11" t="s">
        <v>2098</v>
      </c>
      <c r="C11">
        <v>4412526.7</v>
      </c>
      <c r="D11">
        <v>5677148.5</v>
      </c>
      <c r="E11" t="s">
        <v>2273</v>
      </c>
      <c r="F11" s="9"/>
      <c r="G11" s="9"/>
    </row>
    <row r="12" spans="1:8" x14ac:dyDescent="0.25">
      <c r="A12">
        <v>11</v>
      </c>
      <c r="B12" t="s">
        <v>2099</v>
      </c>
      <c r="C12">
        <v>4410370.9000000004</v>
      </c>
      <c r="D12">
        <v>5678783.5999999996</v>
      </c>
      <c r="E12" t="s">
        <v>2273</v>
      </c>
      <c r="F12" s="9"/>
      <c r="G12" s="9"/>
    </row>
    <row r="13" spans="1:8" x14ac:dyDescent="0.25">
      <c r="A13">
        <v>12</v>
      </c>
      <c r="B13" t="s">
        <v>2100</v>
      </c>
      <c r="C13">
        <v>4399687.12</v>
      </c>
      <c r="D13">
        <v>5673102.7300000004</v>
      </c>
      <c r="E13" t="s">
        <v>2323</v>
      </c>
      <c r="F13" s="9"/>
      <c r="G13" s="9"/>
    </row>
    <row r="14" spans="1:8" x14ac:dyDescent="0.25">
      <c r="A14">
        <v>13</v>
      </c>
      <c r="B14" t="s">
        <v>2101</v>
      </c>
      <c r="C14">
        <v>4399547.42</v>
      </c>
      <c r="D14">
        <v>5671479.7599999998</v>
      </c>
      <c r="E14" t="s">
        <v>2320</v>
      </c>
      <c r="F14" s="9"/>
      <c r="G14" s="9"/>
    </row>
    <row r="15" spans="1:8" x14ac:dyDescent="0.25">
      <c r="A15">
        <v>14</v>
      </c>
      <c r="B15" t="s">
        <v>2102</v>
      </c>
      <c r="C15">
        <v>4393738.4400000004</v>
      </c>
      <c r="D15">
        <v>5670811.3300000001</v>
      </c>
      <c r="E15" t="s">
        <v>2323</v>
      </c>
      <c r="F15" s="10">
        <v>747.7</v>
      </c>
      <c r="G15" s="10">
        <v>757.5</v>
      </c>
      <c r="H15">
        <v>768.9</v>
      </c>
    </row>
    <row r="16" spans="1:8" x14ac:dyDescent="0.25">
      <c r="A16">
        <v>15</v>
      </c>
      <c r="B16" t="s">
        <v>2103</v>
      </c>
      <c r="C16">
        <v>4399370.0999999996</v>
      </c>
      <c r="D16">
        <v>5671898.7999999998</v>
      </c>
      <c r="E16" t="s">
        <v>2324</v>
      </c>
      <c r="F16" s="10">
        <v>840.2</v>
      </c>
      <c r="G16" s="10">
        <v>841.5</v>
      </c>
      <c r="H16">
        <v>853.9</v>
      </c>
    </row>
    <row r="17" spans="1:8" x14ac:dyDescent="0.25">
      <c r="A17">
        <v>16</v>
      </c>
      <c r="B17" t="s">
        <v>2104</v>
      </c>
      <c r="C17">
        <v>4466436.2</v>
      </c>
      <c r="D17">
        <v>5655896.0999999996</v>
      </c>
      <c r="E17" t="s">
        <v>2323</v>
      </c>
      <c r="F17" s="10"/>
      <c r="G17" s="10"/>
      <c r="H17" s="11"/>
    </row>
    <row r="18" spans="1:8" x14ac:dyDescent="0.25">
      <c r="A18">
        <v>17</v>
      </c>
      <c r="B18" t="s">
        <v>2105</v>
      </c>
      <c r="C18">
        <v>4494787.8</v>
      </c>
      <c r="D18">
        <v>5618778.5</v>
      </c>
      <c r="E18" t="s">
        <v>2323</v>
      </c>
      <c r="F18" s="10"/>
      <c r="G18" s="10"/>
      <c r="H18" s="11"/>
    </row>
    <row r="19" spans="1:8" x14ac:dyDescent="0.25">
      <c r="A19">
        <v>18</v>
      </c>
      <c r="B19" t="s">
        <v>2106</v>
      </c>
      <c r="C19">
        <v>4414720.8</v>
      </c>
      <c r="D19">
        <v>5571710.0999999996</v>
      </c>
      <c r="E19" t="s">
        <v>2325</v>
      </c>
      <c r="F19" s="10"/>
      <c r="G19" s="10"/>
      <c r="H19" s="11"/>
    </row>
    <row r="20" spans="1:8" x14ac:dyDescent="0.25">
      <c r="A20">
        <v>19</v>
      </c>
      <c r="B20" t="s">
        <v>2269</v>
      </c>
      <c r="C20">
        <v>4446653</v>
      </c>
      <c r="D20">
        <v>5658621</v>
      </c>
      <c r="E20" t="s">
        <v>2326</v>
      </c>
      <c r="F20" s="10">
        <v>744.3</v>
      </c>
      <c r="G20" s="10">
        <v>753.1</v>
      </c>
      <c r="H20" s="11">
        <v>757.8</v>
      </c>
    </row>
    <row r="21" spans="1:8" x14ac:dyDescent="0.25">
      <c r="A21">
        <v>20</v>
      </c>
      <c r="B21" t="s">
        <v>2107</v>
      </c>
      <c r="C21">
        <v>4400240.5999999996</v>
      </c>
      <c r="D21">
        <v>5652723.5999999996</v>
      </c>
      <c r="E21" t="s">
        <v>2273</v>
      </c>
      <c r="F21" s="10">
        <v>582</v>
      </c>
      <c r="G21" s="10">
        <v>590</v>
      </c>
      <c r="H21" s="11">
        <v>602</v>
      </c>
    </row>
    <row r="22" spans="1:8" x14ac:dyDescent="0.25">
      <c r="A22">
        <v>21</v>
      </c>
      <c r="B22" t="s">
        <v>2108</v>
      </c>
      <c r="C22">
        <v>4397909.3</v>
      </c>
      <c r="D22">
        <v>5653419.5</v>
      </c>
      <c r="E22" t="s">
        <v>2273</v>
      </c>
      <c r="F22" s="10">
        <v>597</v>
      </c>
      <c r="G22" s="10">
        <v>604</v>
      </c>
      <c r="H22" s="11">
        <v>613</v>
      </c>
    </row>
    <row r="23" spans="1:8" x14ac:dyDescent="0.25">
      <c r="A23">
        <v>22</v>
      </c>
      <c r="B23" t="s">
        <v>2109</v>
      </c>
      <c r="C23">
        <v>4399141.2</v>
      </c>
      <c r="D23">
        <v>5654773.4000000004</v>
      </c>
      <c r="E23" t="s">
        <v>2273</v>
      </c>
      <c r="F23" s="10">
        <v>546</v>
      </c>
      <c r="G23" s="10">
        <v>553</v>
      </c>
      <c r="H23" s="11">
        <v>558</v>
      </c>
    </row>
    <row r="24" spans="1:8" x14ac:dyDescent="0.25">
      <c r="A24">
        <v>23</v>
      </c>
      <c r="B24" t="s">
        <v>2110</v>
      </c>
      <c r="C24">
        <v>4402205.8</v>
      </c>
      <c r="D24">
        <v>5652925.7000000002</v>
      </c>
      <c r="E24" t="s">
        <v>2273</v>
      </c>
      <c r="F24" s="10">
        <v>657</v>
      </c>
      <c r="G24" s="10">
        <v>660</v>
      </c>
      <c r="H24" s="11">
        <v>668</v>
      </c>
    </row>
    <row r="25" spans="1:8" x14ac:dyDescent="0.25">
      <c r="A25">
        <v>24</v>
      </c>
      <c r="B25" t="s">
        <v>2111</v>
      </c>
      <c r="C25">
        <v>4397513.3</v>
      </c>
      <c r="D25">
        <v>5654774.5999999996</v>
      </c>
      <c r="E25" t="s">
        <v>2327</v>
      </c>
      <c r="F25" s="10"/>
      <c r="G25" s="10"/>
      <c r="H25" s="11"/>
    </row>
    <row r="26" spans="1:8" x14ac:dyDescent="0.25">
      <c r="A26">
        <v>25</v>
      </c>
      <c r="B26" t="s">
        <v>2112</v>
      </c>
      <c r="C26">
        <v>4396802.5</v>
      </c>
      <c r="D26">
        <v>5653897.7999999998</v>
      </c>
      <c r="E26" t="s">
        <v>2273</v>
      </c>
      <c r="F26" s="10">
        <v>613</v>
      </c>
      <c r="G26" s="10">
        <v>625</v>
      </c>
      <c r="H26" s="11">
        <v>633</v>
      </c>
    </row>
    <row r="27" spans="1:8" x14ac:dyDescent="0.25">
      <c r="A27">
        <v>26</v>
      </c>
      <c r="B27" t="s">
        <v>2113</v>
      </c>
      <c r="C27">
        <v>4400040.3</v>
      </c>
      <c r="D27">
        <v>5653971.0999999996</v>
      </c>
      <c r="E27" t="s">
        <v>2273</v>
      </c>
      <c r="F27" s="10">
        <v>538</v>
      </c>
      <c r="G27" s="10">
        <v>546</v>
      </c>
      <c r="H27" s="11">
        <v>552</v>
      </c>
    </row>
    <row r="28" spans="1:8" x14ac:dyDescent="0.25">
      <c r="A28">
        <v>27</v>
      </c>
      <c r="B28" t="s">
        <v>2114</v>
      </c>
      <c r="C28">
        <v>4396273.5999999996</v>
      </c>
      <c r="D28">
        <v>5655048.5</v>
      </c>
      <c r="E28" t="s">
        <v>2273</v>
      </c>
      <c r="F28" s="10"/>
      <c r="G28" s="10"/>
      <c r="H28" s="11"/>
    </row>
    <row r="29" spans="1:8" x14ac:dyDescent="0.25">
      <c r="A29">
        <v>28</v>
      </c>
      <c r="B29" t="s">
        <v>2115</v>
      </c>
      <c r="C29">
        <v>4398273.4000000004</v>
      </c>
      <c r="D29">
        <v>5655676.9000000004</v>
      </c>
      <c r="E29" t="s">
        <v>2325</v>
      </c>
      <c r="F29" s="10">
        <v>617.5</v>
      </c>
      <c r="G29" s="10">
        <v>620.4</v>
      </c>
      <c r="H29" s="11">
        <v>628.6</v>
      </c>
    </row>
    <row r="30" spans="1:8" x14ac:dyDescent="0.25">
      <c r="A30">
        <v>29</v>
      </c>
      <c r="B30" t="s">
        <v>2116</v>
      </c>
      <c r="C30">
        <v>4401188.2</v>
      </c>
      <c r="D30">
        <v>5653492</v>
      </c>
      <c r="E30" t="s">
        <v>2273</v>
      </c>
      <c r="F30" s="10">
        <v>576</v>
      </c>
      <c r="G30" s="10">
        <v>578</v>
      </c>
      <c r="H30" s="11">
        <v>584</v>
      </c>
    </row>
    <row r="31" spans="1:8" x14ac:dyDescent="0.25">
      <c r="A31">
        <v>30</v>
      </c>
      <c r="B31" t="s">
        <v>2117</v>
      </c>
      <c r="C31">
        <v>4397216.5</v>
      </c>
      <c r="D31">
        <v>5656020.7999999998</v>
      </c>
      <c r="E31" t="s">
        <v>2328</v>
      </c>
      <c r="F31" s="10">
        <v>716.9</v>
      </c>
      <c r="G31" s="10">
        <v>724.8</v>
      </c>
      <c r="H31" s="11">
        <v>732.3</v>
      </c>
    </row>
    <row r="32" spans="1:8" x14ac:dyDescent="0.25">
      <c r="A32">
        <v>31</v>
      </c>
      <c r="B32" t="s">
        <v>2118</v>
      </c>
      <c r="C32">
        <v>4425540</v>
      </c>
      <c r="D32">
        <v>5691350</v>
      </c>
      <c r="E32" t="s">
        <v>2273</v>
      </c>
      <c r="F32" s="11"/>
      <c r="G32" s="11"/>
      <c r="H32" s="11"/>
    </row>
    <row r="33" spans="1:8" x14ac:dyDescent="0.25">
      <c r="A33">
        <v>32</v>
      </c>
      <c r="B33" t="s">
        <v>2119</v>
      </c>
      <c r="C33">
        <v>4423576.3</v>
      </c>
      <c r="D33">
        <v>5688775.7999999998</v>
      </c>
      <c r="E33" t="s">
        <v>2274</v>
      </c>
      <c r="F33" s="11"/>
      <c r="G33" s="11"/>
      <c r="H33" s="11"/>
    </row>
    <row r="34" spans="1:8" x14ac:dyDescent="0.25">
      <c r="A34">
        <v>33</v>
      </c>
      <c r="B34" t="s">
        <v>2120</v>
      </c>
      <c r="C34">
        <v>4452510</v>
      </c>
      <c r="D34">
        <v>5612901.0999999996</v>
      </c>
      <c r="E34" t="s">
        <v>2323</v>
      </c>
      <c r="F34" s="11"/>
      <c r="G34" s="11"/>
      <c r="H34" s="11"/>
    </row>
    <row r="35" spans="1:8" x14ac:dyDescent="0.25">
      <c r="A35">
        <v>34</v>
      </c>
      <c r="B35" t="s">
        <v>2270</v>
      </c>
      <c r="C35">
        <v>4362011.3</v>
      </c>
      <c r="D35">
        <v>5691689.3899999997</v>
      </c>
      <c r="E35" t="s">
        <v>2329</v>
      </c>
      <c r="F35" s="11">
        <v>156.5</v>
      </c>
      <c r="G35" s="11">
        <v>163.4</v>
      </c>
      <c r="H35" s="11">
        <v>185.8</v>
      </c>
    </row>
    <row r="36" spans="1:8" x14ac:dyDescent="0.25">
      <c r="A36">
        <v>35</v>
      </c>
      <c r="B36" t="s">
        <v>2121</v>
      </c>
      <c r="C36">
        <v>4479579.4000000004</v>
      </c>
      <c r="D36">
        <v>5588753.4000000004</v>
      </c>
      <c r="E36" t="s">
        <v>2323</v>
      </c>
      <c r="F36" s="11"/>
      <c r="G36" s="11"/>
      <c r="H36" s="11"/>
    </row>
    <row r="37" spans="1:8" x14ac:dyDescent="0.25">
      <c r="A37">
        <v>36</v>
      </c>
      <c r="B37" t="s">
        <v>2122</v>
      </c>
      <c r="C37">
        <v>4458782.5</v>
      </c>
      <c r="D37">
        <v>5660101.7000000002</v>
      </c>
      <c r="E37" t="s">
        <v>2320</v>
      </c>
      <c r="F37">
        <v>677</v>
      </c>
      <c r="G37">
        <v>683</v>
      </c>
      <c r="H37">
        <v>710</v>
      </c>
    </row>
    <row r="38" spans="1:8" x14ac:dyDescent="0.25">
      <c r="A38">
        <v>37</v>
      </c>
      <c r="B38" t="s">
        <v>2123</v>
      </c>
      <c r="C38">
        <v>4453936.2</v>
      </c>
      <c r="D38">
        <v>5659434.5999999996</v>
      </c>
      <c r="E38" t="s">
        <v>2330</v>
      </c>
      <c r="F38">
        <v>772</v>
      </c>
      <c r="G38">
        <v>775</v>
      </c>
      <c r="H38">
        <v>783</v>
      </c>
    </row>
    <row r="39" spans="1:8" x14ac:dyDescent="0.25">
      <c r="A39">
        <v>38</v>
      </c>
      <c r="B39" t="s">
        <v>2124</v>
      </c>
      <c r="C39">
        <v>4456224</v>
      </c>
      <c r="D39">
        <v>5662381.5999999996</v>
      </c>
      <c r="E39" t="s">
        <v>2331</v>
      </c>
      <c r="F39" s="11">
        <v>745.4</v>
      </c>
      <c r="G39" s="11">
        <v>763.4</v>
      </c>
      <c r="H39" s="11">
        <v>778.5</v>
      </c>
    </row>
    <row r="40" spans="1:8" x14ac:dyDescent="0.25">
      <c r="A40">
        <v>39</v>
      </c>
      <c r="B40" t="s">
        <v>2125</v>
      </c>
      <c r="C40">
        <v>4458982.2</v>
      </c>
      <c r="D40">
        <v>5664557.2999999998</v>
      </c>
      <c r="E40" t="s">
        <v>2330</v>
      </c>
      <c r="F40" s="11">
        <v>788</v>
      </c>
      <c r="G40" s="11">
        <v>790</v>
      </c>
      <c r="H40" s="11">
        <v>820</v>
      </c>
    </row>
    <row r="41" spans="1:8" x14ac:dyDescent="0.25">
      <c r="A41">
        <v>40</v>
      </c>
      <c r="B41" t="s">
        <v>2126</v>
      </c>
      <c r="C41">
        <v>4459104.5</v>
      </c>
      <c r="D41">
        <v>5666396.0999999996</v>
      </c>
      <c r="E41" t="s">
        <v>2332</v>
      </c>
      <c r="F41" s="11">
        <v>774</v>
      </c>
      <c r="G41" s="11">
        <v>783</v>
      </c>
      <c r="H41" s="11">
        <v>787</v>
      </c>
    </row>
    <row r="42" spans="1:8" x14ac:dyDescent="0.25">
      <c r="A42">
        <v>41</v>
      </c>
      <c r="B42" t="s">
        <v>2127</v>
      </c>
      <c r="C42">
        <v>4455920.2</v>
      </c>
      <c r="D42">
        <v>5666309.0999999996</v>
      </c>
      <c r="E42" t="s">
        <v>2332</v>
      </c>
    </row>
    <row r="43" spans="1:8" x14ac:dyDescent="0.25">
      <c r="A43">
        <v>42</v>
      </c>
      <c r="B43" t="s">
        <v>2128</v>
      </c>
      <c r="C43">
        <v>4461195.2</v>
      </c>
      <c r="D43">
        <v>5666374.5999999996</v>
      </c>
      <c r="E43" t="s">
        <v>2325</v>
      </c>
    </row>
    <row r="44" spans="1:8" x14ac:dyDescent="0.25">
      <c r="A44">
        <v>43</v>
      </c>
      <c r="B44" t="s">
        <v>2129</v>
      </c>
      <c r="C44">
        <v>4457356.2</v>
      </c>
      <c r="D44">
        <v>5667469.7000000002</v>
      </c>
      <c r="E44" t="s">
        <v>2331</v>
      </c>
      <c r="F44" s="11">
        <v>739.1</v>
      </c>
      <c r="G44" s="11">
        <v>760.7</v>
      </c>
      <c r="H44" s="11">
        <v>768.1</v>
      </c>
    </row>
    <row r="45" spans="1:8" x14ac:dyDescent="0.25">
      <c r="A45">
        <v>44</v>
      </c>
      <c r="B45" t="s">
        <v>2130</v>
      </c>
      <c r="C45">
        <v>4455375.5999999996</v>
      </c>
      <c r="D45">
        <v>5668458.9000000004</v>
      </c>
      <c r="E45" t="s">
        <v>2331</v>
      </c>
      <c r="F45" s="11">
        <v>723.7</v>
      </c>
      <c r="G45" s="11">
        <v>740.4</v>
      </c>
      <c r="H45" s="11">
        <v>757</v>
      </c>
    </row>
    <row r="46" spans="1:8" x14ac:dyDescent="0.25">
      <c r="A46">
        <v>45</v>
      </c>
      <c r="B46" t="s">
        <v>2131</v>
      </c>
      <c r="C46">
        <v>4379809.96</v>
      </c>
      <c r="D46">
        <v>5657988.6200000001</v>
      </c>
      <c r="E46" t="s">
        <v>2325</v>
      </c>
      <c r="F46" s="11">
        <v>483.1</v>
      </c>
      <c r="G46" s="11">
        <v>499.1</v>
      </c>
      <c r="H46" s="11">
        <v>505.6</v>
      </c>
    </row>
    <row r="47" spans="1:8" x14ac:dyDescent="0.25">
      <c r="A47">
        <v>46</v>
      </c>
      <c r="B47" t="s">
        <v>2132</v>
      </c>
      <c r="C47">
        <v>4382608.59</v>
      </c>
      <c r="D47">
        <v>5657654.6900000004</v>
      </c>
      <c r="E47" t="s">
        <v>2273</v>
      </c>
      <c r="F47" s="11">
        <v>487</v>
      </c>
      <c r="G47" s="11">
        <v>491</v>
      </c>
      <c r="H47" s="11">
        <v>495</v>
      </c>
    </row>
    <row r="48" spans="1:8" x14ac:dyDescent="0.25">
      <c r="A48">
        <v>47</v>
      </c>
      <c r="B48" t="s">
        <v>2133</v>
      </c>
      <c r="C48">
        <v>4360277.0599999996</v>
      </c>
      <c r="D48">
        <v>5627655.6699999999</v>
      </c>
      <c r="E48" t="s">
        <v>2273</v>
      </c>
      <c r="F48" s="11">
        <v>309</v>
      </c>
      <c r="G48" s="11">
        <v>313</v>
      </c>
      <c r="H48" s="11">
        <v>317</v>
      </c>
    </row>
    <row r="49" spans="1:8" x14ac:dyDescent="0.25">
      <c r="A49">
        <v>48</v>
      </c>
      <c r="B49" t="s">
        <v>2134</v>
      </c>
      <c r="C49">
        <v>4432660.2</v>
      </c>
      <c r="D49">
        <v>5581707.0999999996</v>
      </c>
      <c r="E49" t="s">
        <v>2323</v>
      </c>
    </row>
    <row r="50" spans="1:8" x14ac:dyDescent="0.25">
      <c r="A50">
        <v>49</v>
      </c>
      <c r="B50" t="s">
        <v>2135</v>
      </c>
      <c r="C50">
        <v>4433034.4000000004</v>
      </c>
      <c r="D50">
        <v>5582727.4000000004</v>
      </c>
      <c r="E50" t="s">
        <v>2323</v>
      </c>
    </row>
    <row r="51" spans="1:8" x14ac:dyDescent="0.25">
      <c r="A51">
        <v>50</v>
      </c>
      <c r="B51" t="s">
        <v>2136</v>
      </c>
      <c r="C51">
        <v>4404875.0999999996</v>
      </c>
      <c r="D51">
        <v>5606580.4000000004</v>
      </c>
      <c r="E51" t="s">
        <v>2323</v>
      </c>
      <c r="F51" s="11">
        <v>396.5</v>
      </c>
      <c r="G51" s="11">
        <v>398.9</v>
      </c>
      <c r="H51" s="11">
        <v>405.8</v>
      </c>
    </row>
    <row r="52" spans="1:8" x14ac:dyDescent="0.25">
      <c r="A52">
        <v>51</v>
      </c>
      <c r="B52" t="s">
        <v>2137</v>
      </c>
      <c r="C52">
        <v>4407533.8</v>
      </c>
      <c r="D52">
        <v>5701710</v>
      </c>
      <c r="E52" t="s">
        <v>2320</v>
      </c>
    </row>
    <row r="53" spans="1:8" x14ac:dyDescent="0.25">
      <c r="A53">
        <v>52</v>
      </c>
      <c r="B53" t="s">
        <v>2138</v>
      </c>
      <c r="C53">
        <v>4432701</v>
      </c>
      <c r="D53">
        <v>5654500</v>
      </c>
      <c r="E53" t="s">
        <v>2333</v>
      </c>
      <c r="F53">
        <v>911.1</v>
      </c>
      <c r="G53">
        <v>913</v>
      </c>
      <c r="H53">
        <v>916.1</v>
      </c>
    </row>
    <row r="54" spans="1:8" x14ac:dyDescent="0.25">
      <c r="A54">
        <v>53</v>
      </c>
      <c r="B54" t="s">
        <v>2139</v>
      </c>
      <c r="C54">
        <v>4448150.3</v>
      </c>
      <c r="D54">
        <v>5654874.5</v>
      </c>
      <c r="E54" t="s">
        <v>2325</v>
      </c>
      <c r="F54">
        <v>575.9</v>
      </c>
      <c r="G54">
        <v>579.9</v>
      </c>
      <c r="H54">
        <v>603</v>
      </c>
    </row>
    <row r="55" spans="1:8" x14ac:dyDescent="0.25">
      <c r="A55">
        <v>54</v>
      </c>
      <c r="B55" t="s">
        <v>2140</v>
      </c>
      <c r="C55">
        <v>4447764.8</v>
      </c>
      <c r="D55">
        <v>5653848.0999999996</v>
      </c>
      <c r="E55" t="s">
        <v>2320</v>
      </c>
      <c r="F55">
        <v>573</v>
      </c>
      <c r="G55">
        <v>590</v>
      </c>
      <c r="H55">
        <v>600</v>
      </c>
    </row>
    <row r="56" spans="1:8" x14ac:dyDescent="0.25">
      <c r="A56">
        <v>55</v>
      </c>
      <c r="B56" t="s">
        <v>2141</v>
      </c>
      <c r="C56">
        <v>4447272.2</v>
      </c>
      <c r="D56">
        <v>5652635.4000000004</v>
      </c>
      <c r="E56" t="s">
        <v>2332</v>
      </c>
      <c r="F56">
        <v>538</v>
      </c>
      <c r="G56">
        <v>542</v>
      </c>
      <c r="H56">
        <v>546</v>
      </c>
    </row>
    <row r="57" spans="1:8" x14ac:dyDescent="0.25">
      <c r="A57">
        <v>56</v>
      </c>
      <c r="B57" t="s">
        <v>2142</v>
      </c>
      <c r="C57">
        <v>4455209.5999999996</v>
      </c>
      <c r="D57">
        <v>5653473.4000000004</v>
      </c>
      <c r="E57" t="s">
        <v>2330</v>
      </c>
      <c r="F57">
        <v>615</v>
      </c>
      <c r="G57">
        <v>618</v>
      </c>
      <c r="H57">
        <v>624</v>
      </c>
    </row>
    <row r="58" spans="1:8" x14ac:dyDescent="0.25">
      <c r="A58">
        <v>57</v>
      </c>
      <c r="B58" t="s">
        <v>2271</v>
      </c>
      <c r="C58">
        <v>4415997.7</v>
      </c>
      <c r="D58">
        <v>5656150.7000000002</v>
      </c>
      <c r="E58" t="s">
        <v>2276</v>
      </c>
    </row>
    <row r="59" spans="1:8" x14ac:dyDescent="0.25">
      <c r="A59">
        <v>58</v>
      </c>
      <c r="B59" t="s">
        <v>2143</v>
      </c>
      <c r="C59">
        <v>4478795</v>
      </c>
      <c r="D59">
        <v>5646270.7999999998</v>
      </c>
      <c r="E59" t="s">
        <v>2273</v>
      </c>
    </row>
    <row r="60" spans="1:8" x14ac:dyDescent="0.25">
      <c r="A60">
        <v>59</v>
      </c>
      <c r="B60" t="s">
        <v>2144</v>
      </c>
      <c r="C60">
        <v>4408179.3</v>
      </c>
      <c r="D60">
        <v>5642181.9000000004</v>
      </c>
      <c r="E60" t="s">
        <v>2325</v>
      </c>
      <c r="F60">
        <v>547.6</v>
      </c>
      <c r="G60">
        <v>562.29999999999995</v>
      </c>
      <c r="H60">
        <v>568.29999999999995</v>
      </c>
    </row>
    <row r="61" spans="1:8" x14ac:dyDescent="0.25">
      <c r="A61">
        <v>60</v>
      </c>
      <c r="B61" t="s">
        <v>2145</v>
      </c>
      <c r="C61">
        <v>4409458</v>
      </c>
      <c r="D61">
        <v>5642593.4000000004</v>
      </c>
      <c r="E61" t="s">
        <v>2273</v>
      </c>
      <c r="F61">
        <v>595</v>
      </c>
      <c r="G61">
        <v>601</v>
      </c>
      <c r="H61">
        <v>609</v>
      </c>
    </row>
    <row r="62" spans="1:8" x14ac:dyDescent="0.25">
      <c r="A62">
        <v>61</v>
      </c>
      <c r="B62" t="s">
        <v>2146</v>
      </c>
      <c r="C62">
        <v>4440032.9000000004</v>
      </c>
      <c r="D62">
        <v>5677432.2000000002</v>
      </c>
      <c r="E62" t="s">
        <v>2273</v>
      </c>
    </row>
    <row r="63" spans="1:8" x14ac:dyDescent="0.25">
      <c r="A63">
        <v>62</v>
      </c>
      <c r="B63" t="s">
        <v>2147</v>
      </c>
      <c r="C63">
        <v>4451821.8</v>
      </c>
      <c r="D63">
        <v>5664811</v>
      </c>
      <c r="E63" t="s">
        <v>2320</v>
      </c>
      <c r="F63">
        <v>777</v>
      </c>
      <c r="G63">
        <v>795</v>
      </c>
      <c r="H63">
        <v>810</v>
      </c>
    </row>
    <row r="64" spans="1:8" x14ac:dyDescent="0.25">
      <c r="A64">
        <v>63</v>
      </c>
      <c r="B64" t="s">
        <v>2148</v>
      </c>
      <c r="C64">
        <v>4455446.5999999996</v>
      </c>
      <c r="D64">
        <v>5664238.0999999996</v>
      </c>
      <c r="E64" t="s">
        <v>2273</v>
      </c>
    </row>
    <row r="65" spans="1:8" x14ac:dyDescent="0.25">
      <c r="A65">
        <v>64</v>
      </c>
      <c r="B65" t="s">
        <v>2149</v>
      </c>
      <c r="C65">
        <v>4463771.7</v>
      </c>
      <c r="D65">
        <v>5630407</v>
      </c>
      <c r="E65" t="s">
        <v>2323</v>
      </c>
    </row>
    <row r="66" spans="1:8" x14ac:dyDescent="0.25">
      <c r="A66">
        <v>65</v>
      </c>
      <c r="B66" t="s">
        <v>2150</v>
      </c>
      <c r="C66">
        <v>4412860.3</v>
      </c>
      <c r="D66">
        <v>5643371.2999999998</v>
      </c>
      <c r="E66" t="s">
        <v>2273</v>
      </c>
      <c r="F66">
        <v>740</v>
      </c>
      <c r="G66">
        <v>750</v>
      </c>
      <c r="H66">
        <v>762</v>
      </c>
    </row>
    <row r="67" spans="1:8" x14ac:dyDescent="0.25">
      <c r="A67">
        <v>66</v>
      </c>
      <c r="B67" t="s">
        <v>2151</v>
      </c>
      <c r="C67">
        <v>4428869.12</v>
      </c>
      <c r="D67">
        <v>5690723.5599999996</v>
      </c>
      <c r="E67" t="s">
        <v>2330</v>
      </c>
    </row>
    <row r="68" spans="1:8" x14ac:dyDescent="0.25">
      <c r="A68">
        <v>67</v>
      </c>
      <c r="B68" t="s">
        <v>2152</v>
      </c>
      <c r="C68">
        <v>4428186.0999999996</v>
      </c>
      <c r="D68">
        <v>5689643.7999999998</v>
      </c>
      <c r="E68" t="s">
        <v>2334</v>
      </c>
      <c r="F68">
        <v>281</v>
      </c>
      <c r="G68">
        <v>305.5</v>
      </c>
      <c r="H68">
        <v>374.2</v>
      </c>
    </row>
    <row r="69" spans="1:8" x14ac:dyDescent="0.25">
      <c r="A69">
        <v>68</v>
      </c>
      <c r="B69" t="s">
        <v>2153</v>
      </c>
      <c r="C69">
        <v>4382091.2699999996</v>
      </c>
      <c r="D69">
        <v>5676845.7699999996</v>
      </c>
      <c r="E69" t="s">
        <v>2325</v>
      </c>
      <c r="F69">
        <v>366.5</v>
      </c>
      <c r="G69">
        <v>375.9</v>
      </c>
      <c r="H69">
        <v>392</v>
      </c>
    </row>
    <row r="70" spans="1:8" x14ac:dyDescent="0.25">
      <c r="A70">
        <v>69</v>
      </c>
      <c r="B70" t="s">
        <v>2154</v>
      </c>
      <c r="C70">
        <v>4380897.62</v>
      </c>
      <c r="D70">
        <v>5678133.1500000004</v>
      </c>
      <c r="E70" t="s">
        <v>2325</v>
      </c>
      <c r="F70">
        <v>388.5</v>
      </c>
      <c r="G70">
        <v>396.5</v>
      </c>
      <c r="H70">
        <v>406.9</v>
      </c>
    </row>
    <row r="71" spans="1:8" x14ac:dyDescent="0.25">
      <c r="A71">
        <v>70</v>
      </c>
      <c r="B71" t="s">
        <v>2155</v>
      </c>
      <c r="C71">
        <v>4380601.17</v>
      </c>
      <c r="D71">
        <v>5676065.2699999996</v>
      </c>
      <c r="E71" t="s">
        <v>2273</v>
      </c>
    </row>
    <row r="72" spans="1:8" x14ac:dyDescent="0.25">
      <c r="A72">
        <v>71</v>
      </c>
      <c r="B72" t="s">
        <v>2156</v>
      </c>
      <c r="C72">
        <v>4379049.79</v>
      </c>
      <c r="D72">
        <v>5678751.9299999997</v>
      </c>
      <c r="E72" t="s">
        <v>2273</v>
      </c>
      <c r="F72">
        <v>372</v>
      </c>
      <c r="G72">
        <v>375</v>
      </c>
      <c r="H72">
        <v>380</v>
      </c>
    </row>
    <row r="73" spans="1:8" x14ac:dyDescent="0.25">
      <c r="A73">
        <v>72</v>
      </c>
      <c r="B73" t="s">
        <v>2157</v>
      </c>
      <c r="C73">
        <v>4381905.01</v>
      </c>
      <c r="D73">
        <v>5668533.8899999997</v>
      </c>
      <c r="E73" t="s">
        <v>2273</v>
      </c>
    </row>
    <row r="74" spans="1:8" x14ac:dyDescent="0.25">
      <c r="A74">
        <v>73</v>
      </c>
      <c r="B74" t="s">
        <v>2158</v>
      </c>
      <c r="E74" t="s">
        <v>2273</v>
      </c>
    </row>
    <row r="75" spans="1:8" x14ac:dyDescent="0.25">
      <c r="A75">
        <v>74</v>
      </c>
      <c r="B75" t="s">
        <v>2159</v>
      </c>
      <c r="C75">
        <v>4425463.9000000004</v>
      </c>
      <c r="D75">
        <v>5689057.9000000004</v>
      </c>
      <c r="E75" t="s">
        <v>2325</v>
      </c>
      <c r="F75">
        <v>468.2</v>
      </c>
      <c r="G75">
        <v>478.3</v>
      </c>
      <c r="H75">
        <v>489.5</v>
      </c>
    </row>
    <row r="76" spans="1:8" x14ac:dyDescent="0.25">
      <c r="A76">
        <v>75</v>
      </c>
      <c r="B76" t="s">
        <v>2160</v>
      </c>
      <c r="C76">
        <v>4419570.5999999996</v>
      </c>
      <c r="D76">
        <v>5670916.5999999996</v>
      </c>
      <c r="E76" t="s">
        <v>2330</v>
      </c>
      <c r="F76">
        <v>600</v>
      </c>
      <c r="G76">
        <v>605</v>
      </c>
      <c r="H76">
        <v>613</v>
      </c>
    </row>
    <row r="77" spans="1:8" x14ac:dyDescent="0.25">
      <c r="A77">
        <v>76</v>
      </c>
      <c r="B77" t="s">
        <v>2161</v>
      </c>
      <c r="C77">
        <v>4364949.16</v>
      </c>
      <c r="D77">
        <v>5627334.9199999999</v>
      </c>
      <c r="E77" t="s">
        <v>2325</v>
      </c>
      <c r="F77">
        <v>369.8</v>
      </c>
      <c r="G77">
        <v>374.2</v>
      </c>
      <c r="H77">
        <v>392.9</v>
      </c>
    </row>
    <row r="78" spans="1:8" x14ac:dyDescent="0.25">
      <c r="A78">
        <v>77</v>
      </c>
      <c r="B78" t="s">
        <v>2162</v>
      </c>
      <c r="C78">
        <v>4407898</v>
      </c>
      <c r="D78">
        <v>5685198.2000000002</v>
      </c>
      <c r="E78" t="s">
        <v>2273</v>
      </c>
      <c r="F78">
        <v>610</v>
      </c>
      <c r="G78">
        <v>613</v>
      </c>
      <c r="H78">
        <v>622</v>
      </c>
    </row>
    <row r="79" spans="1:8" x14ac:dyDescent="0.25">
      <c r="A79">
        <v>78</v>
      </c>
      <c r="B79" t="s">
        <v>2163</v>
      </c>
      <c r="C79">
        <v>4402868.7</v>
      </c>
      <c r="D79">
        <v>5689303.0999999996</v>
      </c>
      <c r="E79" t="s">
        <v>2273</v>
      </c>
      <c r="F79">
        <v>533</v>
      </c>
      <c r="G79">
        <v>544</v>
      </c>
      <c r="H79">
        <v>557</v>
      </c>
    </row>
    <row r="80" spans="1:8" x14ac:dyDescent="0.25">
      <c r="A80">
        <v>79</v>
      </c>
      <c r="B80" t="s">
        <v>2164</v>
      </c>
      <c r="C80">
        <v>4403351.9000000004</v>
      </c>
      <c r="D80">
        <v>5690008.7999999998</v>
      </c>
      <c r="E80" t="s">
        <v>2273</v>
      </c>
      <c r="F80">
        <v>520</v>
      </c>
      <c r="G80">
        <v>528</v>
      </c>
      <c r="H80">
        <v>547</v>
      </c>
    </row>
    <row r="81" spans="1:8" x14ac:dyDescent="0.25">
      <c r="A81">
        <v>80</v>
      </c>
      <c r="B81" t="s">
        <v>2165</v>
      </c>
      <c r="C81">
        <v>4404306.4000000004</v>
      </c>
      <c r="D81">
        <v>5690367</v>
      </c>
      <c r="E81" t="s">
        <v>2331</v>
      </c>
      <c r="F81">
        <v>535.20000000000005</v>
      </c>
      <c r="G81">
        <v>546.1</v>
      </c>
      <c r="H81">
        <v>563.5</v>
      </c>
    </row>
    <row r="82" spans="1:8" x14ac:dyDescent="0.25">
      <c r="A82">
        <v>81</v>
      </c>
      <c r="B82" t="s">
        <v>2166</v>
      </c>
      <c r="C82">
        <v>4406226.5999999996</v>
      </c>
      <c r="D82">
        <v>5691376.4000000004</v>
      </c>
      <c r="E82" t="s">
        <v>2325</v>
      </c>
      <c r="F82">
        <v>505.6</v>
      </c>
      <c r="G82">
        <v>513.6</v>
      </c>
      <c r="H82">
        <v>515.5</v>
      </c>
    </row>
    <row r="83" spans="1:8" x14ac:dyDescent="0.25">
      <c r="A83">
        <v>82</v>
      </c>
      <c r="B83" t="s">
        <v>2167</v>
      </c>
      <c r="C83">
        <v>4416254.24</v>
      </c>
      <c r="D83">
        <v>5716137.0499999998</v>
      </c>
      <c r="E83" t="s">
        <v>2323</v>
      </c>
    </row>
    <row r="84" spans="1:8" x14ac:dyDescent="0.25">
      <c r="A84">
        <v>83</v>
      </c>
      <c r="B84" t="s">
        <v>2168</v>
      </c>
      <c r="C84">
        <v>4458846.5999999996</v>
      </c>
      <c r="D84">
        <v>5656519.4000000004</v>
      </c>
      <c r="E84" t="s">
        <v>2273</v>
      </c>
      <c r="F84">
        <v>643</v>
      </c>
      <c r="G84">
        <v>654</v>
      </c>
      <c r="H84">
        <v>666</v>
      </c>
    </row>
    <row r="85" spans="1:8" x14ac:dyDescent="0.25">
      <c r="A85">
        <v>84</v>
      </c>
      <c r="B85" t="s">
        <v>2169</v>
      </c>
      <c r="C85">
        <v>4476812.5999999996</v>
      </c>
      <c r="D85">
        <v>5657389.5</v>
      </c>
      <c r="E85" t="s">
        <v>2323</v>
      </c>
      <c r="F85">
        <v>542.9</v>
      </c>
      <c r="G85">
        <v>547.1</v>
      </c>
      <c r="H85">
        <v>555.9</v>
      </c>
    </row>
    <row r="86" spans="1:8" x14ac:dyDescent="0.25">
      <c r="A86">
        <v>85</v>
      </c>
      <c r="B86" t="s">
        <v>2171</v>
      </c>
      <c r="C86">
        <v>4455281.3</v>
      </c>
      <c r="D86">
        <v>5690669.7999999998</v>
      </c>
      <c r="E86" t="s">
        <v>2334</v>
      </c>
    </row>
    <row r="87" spans="1:8" x14ac:dyDescent="0.25">
      <c r="A87">
        <v>86</v>
      </c>
      <c r="B87" t="s">
        <v>2172</v>
      </c>
      <c r="C87">
        <v>4396365.8</v>
      </c>
      <c r="D87">
        <v>5687250.9000000004</v>
      </c>
      <c r="E87" t="s">
        <v>2273</v>
      </c>
    </row>
    <row r="88" spans="1:8" x14ac:dyDescent="0.25">
      <c r="A88">
        <v>87</v>
      </c>
      <c r="B88" t="s">
        <v>2173</v>
      </c>
      <c r="C88">
        <v>4397984.3</v>
      </c>
      <c r="D88">
        <v>5687087.5999999996</v>
      </c>
      <c r="E88" t="s">
        <v>2273</v>
      </c>
      <c r="F88">
        <v>412</v>
      </c>
      <c r="G88">
        <v>415</v>
      </c>
      <c r="H88">
        <v>430</v>
      </c>
    </row>
    <row r="89" spans="1:8" x14ac:dyDescent="0.25">
      <c r="A89">
        <v>88</v>
      </c>
      <c r="B89" t="s">
        <v>2174</v>
      </c>
      <c r="C89">
        <v>4396420.5999999996</v>
      </c>
      <c r="D89">
        <v>5688058.5999999996</v>
      </c>
      <c r="E89" t="s">
        <v>2273</v>
      </c>
      <c r="F89">
        <v>371</v>
      </c>
      <c r="G89">
        <v>376</v>
      </c>
      <c r="H89">
        <v>384</v>
      </c>
    </row>
    <row r="90" spans="1:8" x14ac:dyDescent="0.25">
      <c r="A90">
        <v>89</v>
      </c>
      <c r="B90" t="s">
        <v>2175</v>
      </c>
      <c r="C90">
        <v>4407153.9000000004</v>
      </c>
      <c r="D90">
        <v>5675860.4000000004</v>
      </c>
      <c r="E90" t="s">
        <v>2325</v>
      </c>
    </row>
    <row r="91" spans="1:8" x14ac:dyDescent="0.25">
      <c r="A91">
        <v>90</v>
      </c>
      <c r="B91" t="s">
        <v>2176</v>
      </c>
      <c r="C91">
        <v>4412813.0999999996</v>
      </c>
      <c r="D91">
        <v>5673346.7999999998</v>
      </c>
      <c r="E91" t="s">
        <v>2273</v>
      </c>
    </row>
    <row r="92" spans="1:8" x14ac:dyDescent="0.25">
      <c r="A92">
        <v>91</v>
      </c>
      <c r="B92" t="s">
        <v>2177</v>
      </c>
      <c r="C92">
        <v>4412088.5999999996</v>
      </c>
      <c r="D92">
        <v>5672293.0999999996</v>
      </c>
      <c r="E92" t="s">
        <v>2273</v>
      </c>
    </row>
    <row r="93" spans="1:8" x14ac:dyDescent="0.25">
      <c r="A93">
        <v>92</v>
      </c>
      <c r="B93" t="s">
        <v>2178</v>
      </c>
      <c r="C93">
        <v>4405252.7</v>
      </c>
      <c r="D93">
        <v>5677194.5999999996</v>
      </c>
      <c r="E93" t="s">
        <v>2323</v>
      </c>
    </row>
    <row r="94" spans="1:8" x14ac:dyDescent="0.25">
      <c r="A94">
        <v>93</v>
      </c>
      <c r="B94" t="s">
        <v>2179</v>
      </c>
      <c r="C94">
        <v>4408170.9000000004</v>
      </c>
      <c r="D94">
        <v>5674603.5999999996</v>
      </c>
      <c r="E94" t="s">
        <v>2325</v>
      </c>
    </row>
    <row r="95" spans="1:8" x14ac:dyDescent="0.25">
      <c r="A95">
        <v>94</v>
      </c>
      <c r="B95" t="s">
        <v>2180</v>
      </c>
      <c r="C95">
        <v>4411141.7</v>
      </c>
      <c r="D95">
        <v>5673001.0999999996</v>
      </c>
      <c r="E95" t="s">
        <v>2325</v>
      </c>
    </row>
    <row r="96" spans="1:8" x14ac:dyDescent="0.25">
      <c r="A96">
        <v>95</v>
      </c>
      <c r="B96" t="s">
        <v>2181</v>
      </c>
      <c r="C96">
        <v>4410582.3</v>
      </c>
      <c r="D96">
        <v>5674918.7999999998</v>
      </c>
      <c r="E96" t="s">
        <v>2273</v>
      </c>
    </row>
    <row r="97" spans="1:8" x14ac:dyDescent="0.25">
      <c r="A97">
        <v>96</v>
      </c>
      <c r="B97" t="s">
        <v>2182</v>
      </c>
      <c r="C97">
        <v>4413674.7</v>
      </c>
      <c r="D97">
        <v>5672559.7999999998</v>
      </c>
      <c r="E97" t="s">
        <v>2273</v>
      </c>
      <c r="F97">
        <v>599</v>
      </c>
      <c r="G97">
        <v>603</v>
      </c>
      <c r="H97">
        <v>613</v>
      </c>
    </row>
    <row r="98" spans="1:8" x14ac:dyDescent="0.25">
      <c r="A98">
        <v>97</v>
      </c>
      <c r="B98" t="s">
        <v>2183</v>
      </c>
      <c r="C98">
        <v>4407529.66</v>
      </c>
      <c r="D98">
        <v>5674411.2000000002</v>
      </c>
      <c r="E98" t="s">
        <v>2273</v>
      </c>
    </row>
    <row r="99" spans="1:8" x14ac:dyDescent="0.25">
      <c r="A99">
        <v>98</v>
      </c>
      <c r="B99" t="s">
        <v>2184</v>
      </c>
      <c r="C99">
        <v>4407448.2</v>
      </c>
      <c r="D99">
        <v>5676689.5999999996</v>
      </c>
      <c r="E99" t="s">
        <v>2273</v>
      </c>
    </row>
    <row r="100" spans="1:8" x14ac:dyDescent="0.25">
      <c r="A100">
        <v>99</v>
      </c>
      <c r="B100" t="s">
        <v>2185</v>
      </c>
      <c r="C100">
        <v>4409839.7</v>
      </c>
      <c r="D100">
        <v>5676763</v>
      </c>
      <c r="E100" t="s">
        <v>2273</v>
      </c>
    </row>
    <row r="101" spans="1:8" x14ac:dyDescent="0.25">
      <c r="A101">
        <v>100</v>
      </c>
      <c r="B101" t="s">
        <v>2186</v>
      </c>
      <c r="C101">
        <v>4410409.8</v>
      </c>
      <c r="D101">
        <v>5673305.5</v>
      </c>
      <c r="E101" t="s">
        <v>2273</v>
      </c>
      <c r="F101">
        <v>575</v>
      </c>
      <c r="G101">
        <v>581</v>
      </c>
      <c r="H101">
        <v>593</v>
      </c>
    </row>
    <row r="102" spans="1:8" x14ac:dyDescent="0.25">
      <c r="A102">
        <v>101</v>
      </c>
      <c r="B102" t="s">
        <v>2187</v>
      </c>
      <c r="C102">
        <v>4409471.5</v>
      </c>
      <c r="D102">
        <v>5674140.7000000002</v>
      </c>
      <c r="E102" t="s">
        <v>2273</v>
      </c>
      <c r="F102">
        <v>578</v>
      </c>
      <c r="G102">
        <v>580</v>
      </c>
      <c r="H102">
        <v>590</v>
      </c>
    </row>
    <row r="103" spans="1:8" x14ac:dyDescent="0.25">
      <c r="A103">
        <v>102</v>
      </c>
      <c r="B103" t="s">
        <v>2188</v>
      </c>
      <c r="C103">
        <v>4410358.8</v>
      </c>
      <c r="D103">
        <v>5673889.2000000002</v>
      </c>
      <c r="E103" t="s">
        <v>2273</v>
      </c>
      <c r="F103">
        <v>575</v>
      </c>
      <c r="G103">
        <v>585</v>
      </c>
      <c r="H103">
        <v>593</v>
      </c>
    </row>
    <row r="104" spans="1:8" x14ac:dyDescent="0.25">
      <c r="A104">
        <v>103</v>
      </c>
      <c r="B104" t="s">
        <v>2189</v>
      </c>
      <c r="C104">
        <v>4411911.5</v>
      </c>
      <c r="D104">
        <v>5672953.7999999998</v>
      </c>
      <c r="E104" t="s">
        <v>2334</v>
      </c>
      <c r="F104">
        <v>579</v>
      </c>
      <c r="G104">
        <v>585.70000000000005</v>
      </c>
      <c r="H104">
        <v>597.5</v>
      </c>
    </row>
    <row r="105" spans="1:8" x14ac:dyDescent="0.25">
      <c r="A105">
        <v>104</v>
      </c>
      <c r="B105" t="s">
        <v>2190</v>
      </c>
      <c r="C105">
        <v>4409135.4000000004</v>
      </c>
      <c r="D105">
        <v>5674682.7000000002</v>
      </c>
      <c r="E105" t="s">
        <v>2273</v>
      </c>
      <c r="F105">
        <v>584</v>
      </c>
      <c r="G105">
        <v>587</v>
      </c>
      <c r="H105">
        <v>604</v>
      </c>
    </row>
    <row r="106" spans="1:8" x14ac:dyDescent="0.25">
      <c r="A106">
        <v>105</v>
      </c>
      <c r="B106" t="s">
        <v>2191</v>
      </c>
      <c r="C106">
        <v>4412249.9000000004</v>
      </c>
      <c r="D106">
        <v>5673731.4000000004</v>
      </c>
      <c r="E106" t="s">
        <v>2273</v>
      </c>
      <c r="F106">
        <v>588</v>
      </c>
      <c r="G106">
        <v>593</v>
      </c>
      <c r="H106">
        <v>602</v>
      </c>
    </row>
    <row r="107" spans="1:8" x14ac:dyDescent="0.25">
      <c r="A107">
        <v>106</v>
      </c>
      <c r="B107" t="s">
        <v>2192</v>
      </c>
      <c r="C107">
        <v>4409824.4000000004</v>
      </c>
      <c r="D107">
        <v>5676277.5999999996</v>
      </c>
      <c r="E107" t="s">
        <v>2273</v>
      </c>
      <c r="F107">
        <v>609</v>
      </c>
      <c r="G107">
        <v>618</v>
      </c>
      <c r="H107">
        <v>627</v>
      </c>
    </row>
    <row r="108" spans="1:8" x14ac:dyDescent="0.25">
      <c r="A108">
        <v>107</v>
      </c>
      <c r="B108" t="s">
        <v>2193</v>
      </c>
      <c r="C108">
        <v>4411487</v>
      </c>
      <c r="D108">
        <v>5672625</v>
      </c>
      <c r="E108" t="s">
        <v>2273</v>
      </c>
      <c r="F108">
        <v>566</v>
      </c>
      <c r="G108">
        <v>573</v>
      </c>
      <c r="H108">
        <v>587</v>
      </c>
    </row>
    <row r="109" spans="1:8" x14ac:dyDescent="0.25">
      <c r="A109">
        <v>108</v>
      </c>
      <c r="B109" t="s">
        <v>2194</v>
      </c>
      <c r="C109">
        <v>4409651.5999999996</v>
      </c>
      <c r="D109">
        <v>5674827.0999999996</v>
      </c>
      <c r="E109" t="s">
        <v>2273</v>
      </c>
      <c r="F109">
        <v>588</v>
      </c>
      <c r="G109">
        <v>591</v>
      </c>
      <c r="H109">
        <v>599</v>
      </c>
    </row>
    <row r="110" spans="1:8" x14ac:dyDescent="0.25">
      <c r="A110">
        <v>109</v>
      </c>
      <c r="B110" t="s">
        <v>2195</v>
      </c>
      <c r="C110">
        <v>4411001.0999999996</v>
      </c>
      <c r="D110">
        <v>5672731.9000000004</v>
      </c>
      <c r="E110" t="s">
        <v>2273</v>
      </c>
      <c r="F110">
        <v>576</v>
      </c>
      <c r="G110">
        <v>578</v>
      </c>
      <c r="H110">
        <v>579</v>
      </c>
    </row>
    <row r="111" spans="1:8" x14ac:dyDescent="0.25">
      <c r="A111">
        <v>110</v>
      </c>
      <c r="B111" t="s">
        <v>2196</v>
      </c>
      <c r="C111">
        <v>4410860.9000000004</v>
      </c>
      <c r="D111">
        <v>5673497.7999999998</v>
      </c>
      <c r="E111" t="s">
        <v>2273</v>
      </c>
      <c r="F111">
        <v>577</v>
      </c>
      <c r="G111">
        <v>587</v>
      </c>
      <c r="H111">
        <v>594</v>
      </c>
    </row>
    <row r="112" spans="1:8" x14ac:dyDescent="0.25">
      <c r="A112">
        <v>111</v>
      </c>
      <c r="B112" t="s">
        <v>2197</v>
      </c>
      <c r="C112">
        <v>4411570.9000000004</v>
      </c>
      <c r="D112">
        <v>5672059.7999999998</v>
      </c>
      <c r="E112" t="s">
        <v>2273</v>
      </c>
      <c r="F112">
        <v>570</v>
      </c>
      <c r="G112">
        <v>572</v>
      </c>
      <c r="H112">
        <v>583</v>
      </c>
    </row>
    <row r="113" spans="1:8" x14ac:dyDescent="0.25">
      <c r="A113">
        <v>112</v>
      </c>
      <c r="B113" t="s">
        <v>2198</v>
      </c>
      <c r="C113">
        <v>4404274.7</v>
      </c>
      <c r="D113">
        <v>5650408.1600000001</v>
      </c>
      <c r="E113" t="s">
        <v>2273</v>
      </c>
      <c r="F113">
        <v>509</v>
      </c>
      <c r="G113">
        <v>511</v>
      </c>
      <c r="H113">
        <v>518</v>
      </c>
    </row>
    <row r="114" spans="1:8" x14ac:dyDescent="0.25">
      <c r="A114">
        <v>113</v>
      </c>
      <c r="B114" t="s">
        <v>2199</v>
      </c>
      <c r="C114">
        <v>4407479.8</v>
      </c>
      <c r="D114">
        <v>5650945</v>
      </c>
      <c r="E114" t="s">
        <v>2273</v>
      </c>
    </row>
    <row r="115" spans="1:8" x14ac:dyDescent="0.25">
      <c r="A115">
        <v>114</v>
      </c>
      <c r="B115" t="s">
        <v>2200</v>
      </c>
      <c r="C115">
        <v>4405725.4000000004</v>
      </c>
      <c r="D115">
        <v>5647666.9000000004</v>
      </c>
      <c r="E115" t="s">
        <v>2273</v>
      </c>
      <c r="F115">
        <v>511</v>
      </c>
      <c r="G115">
        <v>518</v>
      </c>
      <c r="H115">
        <v>521</v>
      </c>
    </row>
    <row r="116" spans="1:8" x14ac:dyDescent="0.25">
      <c r="A116">
        <v>115</v>
      </c>
      <c r="B116" t="s">
        <v>2201</v>
      </c>
      <c r="C116">
        <v>4406802.9000000004</v>
      </c>
      <c r="D116">
        <v>5648043.5</v>
      </c>
      <c r="E116" t="s">
        <v>2273</v>
      </c>
      <c r="F116">
        <v>546</v>
      </c>
      <c r="G116">
        <v>553</v>
      </c>
      <c r="H116">
        <v>560</v>
      </c>
    </row>
    <row r="117" spans="1:8" x14ac:dyDescent="0.25">
      <c r="A117">
        <v>116</v>
      </c>
      <c r="B117" t="s">
        <v>2202</v>
      </c>
      <c r="C117">
        <v>4376471.4000000004</v>
      </c>
      <c r="D117">
        <v>5684737.6299999999</v>
      </c>
      <c r="E117" t="s">
        <v>2325</v>
      </c>
      <c r="F117">
        <v>316.2</v>
      </c>
      <c r="G117">
        <v>324.8</v>
      </c>
      <c r="H117">
        <v>336.1</v>
      </c>
    </row>
    <row r="118" spans="1:8" x14ac:dyDescent="0.25">
      <c r="A118">
        <v>117</v>
      </c>
      <c r="B118" t="s">
        <v>2203</v>
      </c>
      <c r="E118" t="s">
        <v>2273</v>
      </c>
    </row>
    <row r="119" spans="1:8" x14ac:dyDescent="0.25">
      <c r="A119">
        <v>118</v>
      </c>
      <c r="B119" t="s">
        <v>2204</v>
      </c>
      <c r="C119">
        <v>4411504.3</v>
      </c>
      <c r="D119">
        <v>5665712.7999999998</v>
      </c>
      <c r="E119" t="s">
        <v>2273</v>
      </c>
    </row>
    <row r="120" spans="1:8" x14ac:dyDescent="0.25">
      <c r="A120">
        <v>119</v>
      </c>
      <c r="B120" t="s">
        <v>2205</v>
      </c>
      <c r="C120">
        <v>4409819.4000000004</v>
      </c>
      <c r="D120">
        <v>5666110.9000000004</v>
      </c>
      <c r="E120" t="s">
        <v>2273</v>
      </c>
    </row>
    <row r="121" spans="1:8" x14ac:dyDescent="0.25">
      <c r="A121">
        <v>120</v>
      </c>
      <c r="B121" t="s">
        <v>2206</v>
      </c>
      <c r="C121">
        <v>4409749.4000000004</v>
      </c>
      <c r="D121">
        <v>5667207.5</v>
      </c>
      <c r="E121" t="s">
        <v>2273</v>
      </c>
    </row>
    <row r="122" spans="1:8" x14ac:dyDescent="0.25">
      <c r="A122">
        <v>121</v>
      </c>
      <c r="B122" t="s">
        <v>2207</v>
      </c>
      <c r="C122">
        <v>4410459.5999999996</v>
      </c>
      <c r="D122">
        <v>5666804.5</v>
      </c>
      <c r="E122" t="s">
        <v>2273</v>
      </c>
    </row>
    <row r="123" spans="1:8" x14ac:dyDescent="0.25">
      <c r="A123">
        <v>122</v>
      </c>
      <c r="B123" t="s">
        <v>2208</v>
      </c>
      <c r="C123">
        <v>4408731.0999999996</v>
      </c>
      <c r="D123">
        <v>5668526.2000000002</v>
      </c>
      <c r="E123" t="s">
        <v>2273</v>
      </c>
      <c r="F123">
        <v>600</v>
      </c>
      <c r="G123">
        <v>603</v>
      </c>
      <c r="H123">
        <v>613</v>
      </c>
    </row>
    <row r="124" spans="1:8" x14ac:dyDescent="0.25">
      <c r="A124">
        <v>123</v>
      </c>
      <c r="B124" t="s">
        <v>2209</v>
      </c>
      <c r="C124">
        <v>4406132.1500000004</v>
      </c>
      <c r="D124">
        <v>5670642.2999999998</v>
      </c>
      <c r="E124" t="s">
        <v>2273</v>
      </c>
    </row>
    <row r="125" spans="1:8" x14ac:dyDescent="0.25">
      <c r="A125">
        <v>124</v>
      </c>
      <c r="B125" t="s">
        <v>2210</v>
      </c>
      <c r="C125">
        <v>4410553</v>
      </c>
      <c r="D125">
        <v>5665310.7999999998</v>
      </c>
      <c r="E125" t="s">
        <v>2335</v>
      </c>
      <c r="F125">
        <v>577</v>
      </c>
      <c r="G125">
        <v>580</v>
      </c>
      <c r="H125">
        <v>586</v>
      </c>
    </row>
    <row r="126" spans="1:8" x14ac:dyDescent="0.25">
      <c r="A126">
        <v>125</v>
      </c>
      <c r="B126" t="s">
        <v>2211</v>
      </c>
      <c r="C126">
        <v>4411469.5</v>
      </c>
      <c r="D126">
        <v>5665143.5</v>
      </c>
      <c r="E126" t="s">
        <v>2273</v>
      </c>
      <c r="F126">
        <v>570</v>
      </c>
      <c r="G126">
        <v>575</v>
      </c>
      <c r="H126">
        <v>583</v>
      </c>
    </row>
    <row r="127" spans="1:8" x14ac:dyDescent="0.25">
      <c r="A127">
        <v>126</v>
      </c>
      <c r="B127" t="s">
        <v>2212</v>
      </c>
      <c r="C127">
        <v>4363304.26</v>
      </c>
      <c r="D127">
        <v>5621430.5099999998</v>
      </c>
      <c r="E127" t="s">
        <v>2325</v>
      </c>
      <c r="F127">
        <v>682.2</v>
      </c>
      <c r="G127">
        <v>689.3</v>
      </c>
      <c r="H127">
        <v>701.6</v>
      </c>
    </row>
    <row r="128" spans="1:8" x14ac:dyDescent="0.25">
      <c r="A128">
        <v>127</v>
      </c>
      <c r="B128" t="s">
        <v>2213</v>
      </c>
      <c r="C128">
        <v>4361560.3499999996</v>
      </c>
      <c r="D128">
        <v>5626866.3200000003</v>
      </c>
      <c r="E128" t="s">
        <v>2323</v>
      </c>
    </row>
    <row r="129" spans="1:8" x14ac:dyDescent="0.25">
      <c r="A129">
        <v>128</v>
      </c>
      <c r="B129" t="s">
        <v>2214</v>
      </c>
      <c r="C129">
        <v>4444744.2</v>
      </c>
      <c r="D129">
        <v>5659855.2999999998</v>
      </c>
      <c r="E129" t="s">
        <v>2320</v>
      </c>
      <c r="F129">
        <v>756</v>
      </c>
      <c r="G129">
        <v>761</v>
      </c>
      <c r="H129">
        <v>765</v>
      </c>
    </row>
    <row r="130" spans="1:8" x14ac:dyDescent="0.25">
      <c r="A130">
        <v>129</v>
      </c>
      <c r="B130" t="s">
        <v>2215</v>
      </c>
      <c r="C130">
        <v>4364330.5</v>
      </c>
      <c r="D130">
        <v>5632375.6399999997</v>
      </c>
      <c r="E130" t="s">
        <v>2323</v>
      </c>
    </row>
    <row r="131" spans="1:8" x14ac:dyDescent="0.25">
      <c r="A131">
        <v>130</v>
      </c>
      <c r="B131" t="s">
        <v>2216</v>
      </c>
      <c r="C131">
        <v>4397244.3</v>
      </c>
      <c r="D131">
        <v>5648939.5999999996</v>
      </c>
      <c r="E131" t="s">
        <v>2325</v>
      </c>
      <c r="F131">
        <v>536.9</v>
      </c>
      <c r="G131">
        <v>548.29999999999995</v>
      </c>
      <c r="H131">
        <v>580.6</v>
      </c>
    </row>
    <row r="132" spans="1:8" x14ac:dyDescent="0.25">
      <c r="A132">
        <v>131</v>
      </c>
      <c r="B132" t="s">
        <v>2217</v>
      </c>
      <c r="C132">
        <v>4396807</v>
      </c>
      <c r="D132">
        <v>5647799.7000000002</v>
      </c>
      <c r="E132" t="s">
        <v>2273</v>
      </c>
      <c r="F132">
        <v>533</v>
      </c>
      <c r="G132">
        <v>535</v>
      </c>
      <c r="H132">
        <v>544</v>
      </c>
    </row>
    <row r="133" spans="1:8" x14ac:dyDescent="0.25">
      <c r="A133">
        <v>132</v>
      </c>
      <c r="B133" t="s">
        <v>2218</v>
      </c>
      <c r="C133">
        <v>4397735</v>
      </c>
      <c r="D133">
        <v>5650109.5999999996</v>
      </c>
      <c r="E133" t="s">
        <v>2273</v>
      </c>
      <c r="F133">
        <v>539</v>
      </c>
      <c r="G133">
        <v>552</v>
      </c>
      <c r="H133">
        <v>558</v>
      </c>
    </row>
    <row r="134" spans="1:8" x14ac:dyDescent="0.25">
      <c r="A134">
        <v>133</v>
      </c>
      <c r="B134" t="s">
        <v>2219</v>
      </c>
      <c r="C134">
        <v>4395206.5</v>
      </c>
      <c r="D134">
        <v>5649575.9000000004</v>
      </c>
      <c r="E134" t="s">
        <v>2273</v>
      </c>
      <c r="F134">
        <v>530</v>
      </c>
      <c r="G134">
        <v>536</v>
      </c>
      <c r="H134">
        <v>540</v>
      </c>
    </row>
    <row r="135" spans="1:8" x14ac:dyDescent="0.25">
      <c r="A135">
        <v>134</v>
      </c>
      <c r="B135" t="s">
        <v>2220</v>
      </c>
      <c r="C135">
        <v>4407219.9000000004</v>
      </c>
      <c r="D135">
        <v>5683254.7000000002</v>
      </c>
      <c r="E135" t="s">
        <v>2273</v>
      </c>
    </row>
    <row r="136" spans="1:8" x14ac:dyDescent="0.25">
      <c r="A136">
        <v>135</v>
      </c>
      <c r="B136" t="s">
        <v>2221</v>
      </c>
      <c r="C136">
        <v>4407284.5</v>
      </c>
      <c r="D136">
        <v>5682709.2999999998</v>
      </c>
      <c r="E136" t="s">
        <v>2273</v>
      </c>
      <c r="F136">
        <v>594</v>
      </c>
      <c r="G136">
        <v>597</v>
      </c>
      <c r="H136">
        <v>615</v>
      </c>
    </row>
    <row r="137" spans="1:8" x14ac:dyDescent="0.25">
      <c r="A137">
        <v>136</v>
      </c>
      <c r="B137" t="s">
        <v>2222</v>
      </c>
      <c r="C137">
        <v>4390345.34</v>
      </c>
      <c r="D137">
        <v>5613464</v>
      </c>
      <c r="E137" t="s">
        <v>2323</v>
      </c>
      <c r="F137">
        <v>305</v>
      </c>
      <c r="G137">
        <v>308.8</v>
      </c>
      <c r="H137">
        <v>316.7</v>
      </c>
    </row>
    <row r="138" spans="1:8" x14ac:dyDescent="0.25">
      <c r="A138">
        <v>137</v>
      </c>
      <c r="B138" t="s">
        <v>2223</v>
      </c>
      <c r="C138">
        <v>4419059.9000000004</v>
      </c>
      <c r="D138">
        <v>5645289.2000000002</v>
      </c>
      <c r="E138" t="s">
        <v>2325</v>
      </c>
      <c r="F138">
        <v>617.29999999999995</v>
      </c>
      <c r="G138">
        <v>620.9</v>
      </c>
      <c r="H138">
        <v>633.9</v>
      </c>
    </row>
    <row r="139" spans="1:8" x14ac:dyDescent="0.25">
      <c r="A139">
        <v>138</v>
      </c>
      <c r="B139" t="s">
        <v>2224</v>
      </c>
      <c r="C139">
        <v>4419648</v>
      </c>
      <c r="D139">
        <v>5646283.0999999996</v>
      </c>
      <c r="E139" t="s">
        <v>2325</v>
      </c>
      <c r="F139">
        <v>637.5</v>
      </c>
      <c r="G139">
        <v>642.29999999999995</v>
      </c>
      <c r="H139">
        <v>645.4</v>
      </c>
    </row>
    <row r="140" spans="1:8" x14ac:dyDescent="0.25">
      <c r="A140">
        <v>139</v>
      </c>
      <c r="B140" t="s">
        <v>2225</v>
      </c>
      <c r="C140">
        <v>4420555.2</v>
      </c>
      <c r="D140">
        <v>5644215.0999999996</v>
      </c>
      <c r="E140" t="s">
        <v>2273</v>
      </c>
      <c r="F140">
        <v>611</v>
      </c>
      <c r="G140">
        <v>613</v>
      </c>
      <c r="H140">
        <v>619</v>
      </c>
    </row>
    <row r="141" spans="1:8" x14ac:dyDescent="0.25">
      <c r="A141">
        <v>140</v>
      </c>
      <c r="B141" t="s">
        <v>2226</v>
      </c>
      <c r="C141">
        <v>4418490.5</v>
      </c>
      <c r="D141">
        <v>5644391.2000000002</v>
      </c>
      <c r="E141" t="s">
        <v>2273</v>
      </c>
    </row>
    <row r="142" spans="1:8" x14ac:dyDescent="0.25">
      <c r="A142">
        <v>141</v>
      </c>
      <c r="B142" t="s">
        <v>2227</v>
      </c>
      <c r="C142">
        <v>4447158</v>
      </c>
      <c r="D142">
        <v>5661943.2000000002</v>
      </c>
      <c r="E142" t="s">
        <v>2332</v>
      </c>
      <c r="F142">
        <v>770</v>
      </c>
      <c r="G142">
        <v>777</v>
      </c>
      <c r="H142">
        <v>781</v>
      </c>
    </row>
    <row r="143" spans="1:8" x14ac:dyDescent="0.25">
      <c r="A143">
        <v>142</v>
      </c>
      <c r="B143" t="s">
        <v>2228</v>
      </c>
      <c r="C143">
        <v>4448980.5</v>
      </c>
      <c r="D143">
        <v>5661518.0999999996</v>
      </c>
      <c r="E143" t="s">
        <v>2332</v>
      </c>
      <c r="F143">
        <v>776</v>
      </c>
      <c r="G143">
        <v>778</v>
      </c>
      <c r="H143">
        <v>788</v>
      </c>
    </row>
    <row r="144" spans="1:8" x14ac:dyDescent="0.25">
      <c r="A144">
        <v>143</v>
      </c>
      <c r="B144" t="s">
        <v>2229</v>
      </c>
      <c r="C144">
        <v>4407599</v>
      </c>
      <c r="D144">
        <v>5699888.0999999996</v>
      </c>
      <c r="E144" t="s">
        <v>2334</v>
      </c>
      <c r="F144">
        <v>106.9</v>
      </c>
      <c r="G144">
        <v>112</v>
      </c>
      <c r="H144">
        <v>119.8</v>
      </c>
    </row>
    <row r="145" spans="1:8" x14ac:dyDescent="0.25">
      <c r="A145">
        <v>144</v>
      </c>
      <c r="B145" t="s">
        <v>2230</v>
      </c>
      <c r="C145">
        <v>4411691.5999999996</v>
      </c>
      <c r="D145">
        <v>5698846.9000000004</v>
      </c>
      <c r="E145" t="s">
        <v>2274</v>
      </c>
    </row>
    <row r="146" spans="1:8" x14ac:dyDescent="0.25">
      <c r="A146">
        <v>145</v>
      </c>
      <c r="B146" t="s">
        <v>2231</v>
      </c>
      <c r="C146">
        <v>4410735.8</v>
      </c>
      <c r="D146">
        <v>5698224.5999999996</v>
      </c>
      <c r="E146" t="s">
        <v>2320</v>
      </c>
      <c r="F146">
        <v>198</v>
      </c>
      <c r="G146">
        <v>204</v>
      </c>
      <c r="H146">
        <v>214</v>
      </c>
    </row>
    <row r="147" spans="1:8" x14ac:dyDescent="0.25">
      <c r="A147">
        <v>146</v>
      </c>
      <c r="B147" t="s">
        <v>2232</v>
      </c>
      <c r="E147" t="s">
        <v>2273</v>
      </c>
    </row>
    <row r="148" spans="1:8" x14ac:dyDescent="0.25">
      <c r="A148">
        <v>147</v>
      </c>
      <c r="B148" t="s">
        <v>2233</v>
      </c>
      <c r="C148">
        <v>4408553.2</v>
      </c>
      <c r="D148">
        <v>5622025.2000000002</v>
      </c>
      <c r="E148" t="s">
        <v>2323</v>
      </c>
    </row>
    <row r="149" spans="1:8" x14ac:dyDescent="0.25">
      <c r="A149">
        <v>148</v>
      </c>
      <c r="B149" t="s">
        <v>2234</v>
      </c>
      <c r="E149" t="s">
        <v>2273</v>
      </c>
    </row>
    <row r="150" spans="1:8" x14ac:dyDescent="0.25">
      <c r="A150">
        <v>149</v>
      </c>
      <c r="B150" t="s">
        <v>2235</v>
      </c>
      <c r="C150">
        <v>4363553.96</v>
      </c>
      <c r="D150">
        <v>5623413.9400000004</v>
      </c>
      <c r="E150" t="s">
        <v>2273</v>
      </c>
    </row>
    <row r="151" spans="1:8" x14ac:dyDescent="0.25">
      <c r="A151">
        <v>150</v>
      </c>
      <c r="B151" t="s">
        <v>2236</v>
      </c>
      <c r="C151">
        <v>4382116.0999999996</v>
      </c>
      <c r="D151">
        <v>5697798.79</v>
      </c>
      <c r="E151" t="s">
        <v>2325</v>
      </c>
      <c r="F151">
        <v>65.599999999999994</v>
      </c>
      <c r="G151">
        <v>68.900000000000006</v>
      </c>
      <c r="H151">
        <v>73.099999999999994</v>
      </c>
    </row>
    <row r="152" spans="1:8" x14ac:dyDescent="0.25">
      <c r="A152">
        <v>151</v>
      </c>
      <c r="B152" t="s">
        <v>2237</v>
      </c>
      <c r="C152">
        <v>4529649.5</v>
      </c>
      <c r="D152">
        <v>5636232</v>
      </c>
      <c r="E152" t="s">
        <v>2323</v>
      </c>
    </row>
    <row r="153" spans="1:8" x14ac:dyDescent="0.25">
      <c r="A153">
        <v>152</v>
      </c>
      <c r="B153" t="s">
        <v>2238</v>
      </c>
      <c r="C153">
        <v>4453876</v>
      </c>
      <c r="D153">
        <v>5654617</v>
      </c>
      <c r="E153" t="s">
        <v>2330</v>
      </c>
      <c r="F153">
        <v>631</v>
      </c>
      <c r="G153">
        <v>632</v>
      </c>
      <c r="H153">
        <v>644</v>
      </c>
    </row>
    <row r="154" spans="1:8" x14ac:dyDescent="0.25">
      <c r="A154">
        <v>153</v>
      </c>
      <c r="B154" t="s">
        <v>2239</v>
      </c>
      <c r="C154">
        <v>4448775.3</v>
      </c>
      <c r="D154">
        <v>5658391.7000000002</v>
      </c>
      <c r="E154" t="s">
        <v>2330</v>
      </c>
      <c r="F154">
        <v>764</v>
      </c>
      <c r="G154">
        <v>765</v>
      </c>
      <c r="H154">
        <v>778</v>
      </c>
    </row>
    <row r="155" spans="1:8" x14ac:dyDescent="0.25">
      <c r="A155">
        <v>154</v>
      </c>
      <c r="B155" t="s">
        <v>2240</v>
      </c>
      <c r="C155">
        <v>4393768.78</v>
      </c>
      <c r="D155">
        <v>5593079.46</v>
      </c>
      <c r="E155" t="s">
        <v>2325</v>
      </c>
      <c r="F155">
        <v>196.5</v>
      </c>
      <c r="G155">
        <v>218.5</v>
      </c>
      <c r="H155">
        <v>244.6</v>
      </c>
    </row>
    <row r="156" spans="1:8" x14ac:dyDescent="0.25">
      <c r="A156">
        <v>155</v>
      </c>
      <c r="B156" t="s">
        <v>2291</v>
      </c>
      <c r="C156">
        <v>4408893.3</v>
      </c>
      <c r="D156">
        <v>5682075.2999999998</v>
      </c>
      <c r="E156" t="s">
        <v>2336</v>
      </c>
      <c r="F156">
        <v>621</v>
      </c>
      <c r="G156">
        <v>623</v>
      </c>
      <c r="H156">
        <v>636</v>
      </c>
    </row>
    <row r="157" spans="1:8" x14ac:dyDescent="0.25">
      <c r="A157">
        <v>156</v>
      </c>
      <c r="B157" t="s">
        <v>2293</v>
      </c>
      <c r="C157">
        <v>4408988</v>
      </c>
      <c r="D157">
        <v>5682958</v>
      </c>
      <c r="E157" t="s">
        <v>2273</v>
      </c>
      <c r="F157">
        <v>612</v>
      </c>
      <c r="G157">
        <v>615</v>
      </c>
      <c r="H157">
        <v>623</v>
      </c>
    </row>
    <row r="158" spans="1:8" x14ac:dyDescent="0.25">
      <c r="A158">
        <v>157</v>
      </c>
      <c r="B158" t="s">
        <v>2294</v>
      </c>
      <c r="C158">
        <v>4409160.2</v>
      </c>
      <c r="D158">
        <v>5683434.2000000002</v>
      </c>
      <c r="E158" t="s">
        <v>2273</v>
      </c>
      <c r="F158">
        <v>617</v>
      </c>
      <c r="G158">
        <v>621</v>
      </c>
      <c r="H158">
        <v>632</v>
      </c>
    </row>
    <row r="159" spans="1:8" x14ac:dyDescent="0.25">
      <c r="A159">
        <v>158</v>
      </c>
      <c r="B159" t="s">
        <v>2295</v>
      </c>
      <c r="C159">
        <v>4408463.8</v>
      </c>
      <c r="D159">
        <v>5682159.7000000002</v>
      </c>
      <c r="E159" t="s">
        <v>2273</v>
      </c>
      <c r="F159">
        <v>610</v>
      </c>
      <c r="G159">
        <v>614</v>
      </c>
      <c r="H159">
        <v>626</v>
      </c>
    </row>
    <row r="160" spans="1:8" x14ac:dyDescent="0.25">
      <c r="A160">
        <v>159</v>
      </c>
      <c r="B160" t="s">
        <v>2296</v>
      </c>
      <c r="C160">
        <v>4409585</v>
      </c>
      <c r="D160">
        <v>5681999</v>
      </c>
      <c r="E160" t="s">
        <v>2320</v>
      </c>
      <c r="F160">
        <v>650</v>
      </c>
      <c r="G160">
        <v>658</v>
      </c>
      <c r="H160">
        <v>669</v>
      </c>
    </row>
    <row r="161" spans="1:8" x14ac:dyDescent="0.25">
      <c r="A161">
        <v>160</v>
      </c>
      <c r="B161" t="s">
        <v>2241</v>
      </c>
      <c r="C161">
        <v>4453973.0999999996</v>
      </c>
      <c r="D161">
        <v>5671143</v>
      </c>
      <c r="E161" t="s">
        <v>2325</v>
      </c>
      <c r="F161">
        <v>708</v>
      </c>
      <c r="G161">
        <v>711</v>
      </c>
      <c r="H161">
        <v>720</v>
      </c>
    </row>
    <row r="162" spans="1:8" x14ac:dyDescent="0.25">
      <c r="A162">
        <v>161</v>
      </c>
      <c r="B162" t="s">
        <v>2242</v>
      </c>
      <c r="C162">
        <v>4410104.7</v>
      </c>
      <c r="D162">
        <v>5605004.0999999996</v>
      </c>
      <c r="E162" t="s">
        <v>2323</v>
      </c>
      <c r="F162">
        <v>556.6</v>
      </c>
      <c r="G162">
        <v>559.20000000000005</v>
      </c>
      <c r="H162">
        <v>568.20000000000005</v>
      </c>
    </row>
    <row r="163" spans="1:8" x14ac:dyDescent="0.25">
      <c r="A163">
        <v>162</v>
      </c>
      <c r="B163" t="s">
        <v>2243</v>
      </c>
      <c r="C163">
        <v>4409743.7</v>
      </c>
      <c r="D163">
        <v>5679562.7999999998</v>
      </c>
      <c r="E163" t="s">
        <v>2321</v>
      </c>
      <c r="F163">
        <v>625.29999999999995</v>
      </c>
      <c r="G163">
        <v>631.6</v>
      </c>
      <c r="H163">
        <v>638.79999999999995</v>
      </c>
    </row>
    <row r="164" spans="1:8" x14ac:dyDescent="0.25">
      <c r="A164">
        <v>163</v>
      </c>
      <c r="B164" t="s">
        <v>2244</v>
      </c>
      <c r="C164">
        <v>4363622</v>
      </c>
      <c r="D164">
        <v>5628075.6600000001</v>
      </c>
      <c r="E164" t="s">
        <v>2273</v>
      </c>
      <c r="F164">
        <v>62</v>
      </c>
      <c r="G164">
        <v>90</v>
      </c>
      <c r="H164">
        <v>99</v>
      </c>
    </row>
    <row r="165" spans="1:8" x14ac:dyDescent="0.25">
      <c r="A165">
        <v>164</v>
      </c>
      <c r="B165" t="s">
        <v>2245</v>
      </c>
      <c r="C165">
        <v>4363385.1500000004</v>
      </c>
      <c r="D165">
        <v>5627310.71</v>
      </c>
      <c r="E165" t="s">
        <v>2273</v>
      </c>
      <c r="F165">
        <v>138</v>
      </c>
      <c r="G165">
        <v>140</v>
      </c>
      <c r="H165">
        <v>145</v>
      </c>
    </row>
    <row r="166" spans="1:8" x14ac:dyDescent="0.25">
      <c r="A166">
        <v>165</v>
      </c>
      <c r="B166" t="s">
        <v>2246</v>
      </c>
      <c r="C166">
        <v>4415659.8</v>
      </c>
      <c r="D166">
        <v>5642437.0999999996</v>
      </c>
      <c r="E166" t="s">
        <v>2323</v>
      </c>
    </row>
    <row r="167" spans="1:8" x14ac:dyDescent="0.25">
      <c r="A167">
        <v>166</v>
      </c>
      <c r="B167" t="s">
        <v>2247</v>
      </c>
      <c r="C167">
        <v>4429280.5999999996</v>
      </c>
      <c r="D167">
        <v>5668426.4000000004</v>
      </c>
      <c r="E167" t="s">
        <v>2320</v>
      </c>
      <c r="F167">
        <v>747</v>
      </c>
      <c r="G167">
        <v>749</v>
      </c>
      <c r="H167">
        <v>748</v>
      </c>
    </row>
    <row r="168" spans="1:8" x14ac:dyDescent="0.25">
      <c r="A168">
        <v>167</v>
      </c>
      <c r="B168" t="s">
        <v>2248</v>
      </c>
      <c r="C168">
        <v>4428999.4000000004</v>
      </c>
      <c r="D168">
        <v>5671551.2999999998</v>
      </c>
      <c r="E168" t="s">
        <v>2320</v>
      </c>
    </row>
    <row r="169" spans="1:8" x14ac:dyDescent="0.25">
      <c r="A169">
        <v>168</v>
      </c>
      <c r="B169" t="s">
        <v>2249</v>
      </c>
      <c r="C169">
        <v>4430016.5999999996</v>
      </c>
      <c r="D169">
        <v>5671989.2000000002</v>
      </c>
      <c r="E169" t="s">
        <v>2320</v>
      </c>
    </row>
    <row r="170" spans="1:8" x14ac:dyDescent="0.25">
      <c r="A170">
        <v>169</v>
      </c>
      <c r="B170" t="s">
        <v>2250</v>
      </c>
      <c r="C170">
        <v>4428991.2</v>
      </c>
      <c r="D170">
        <v>5671561.5</v>
      </c>
      <c r="E170" t="s">
        <v>2325</v>
      </c>
      <c r="F170">
        <v>715.2</v>
      </c>
      <c r="G170">
        <v>722.4</v>
      </c>
      <c r="H170">
        <v>737.5</v>
      </c>
    </row>
    <row r="171" spans="1:8" x14ac:dyDescent="0.25">
      <c r="A171">
        <v>170</v>
      </c>
      <c r="B171" t="s">
        <v>2251</v>
      </c>
      <c r="E171" t="s">
        <v>2273</v>
      </c>
    </row>
    <row r="172" spans="1:8" x14ac:dyDescent="0.25">
      <c r="A172">
        <v>171</v>
      </c>
      <c r="B172" t="s">
        <v>2252</v>
      </c>
      <c r="C172">
        <v>4428226.9000000004</v>
      </c>
      <c r="D172">
        <v>5672499.7999999998</v>
      </c>
      <c r="E172" t="s">
        <v>2320</v>
      </c>
    </row>
    <row r="173" spans="1:8" x14ac:dyDescent="0.25">
      <c r="A173">
        <v>172</v>
      </c>
      <c r="B173" t="s">
        <v>2253</v>
      </c>
      <c r="C173">
        <v>4429835.3</v>
      </c>
      <c r="D173">
        <v>5671174</v>
      </c>
      <c r="E173" t="s">
        <v>2337</v>
      </c>
      <c r="F173">
        <v>716.5</v>
      </c>
      <c r="G173">
        <v>718.5</v>
      </c>
      <c r="H173">
        <v>725</v>
      </c>
    </row>
    <row r="174" spans="1:8" x14ac:dyDescent="0.25">
      <c r="A174">
        <v>173</v>
      </c>
      <c r="B174" t="s">
        <v>2254</v>
      </c>
      <c r="C174">
        <v>4396762.5</v>
      </c>
      <c r="D174">
        <v>5623470.7999999998</v>
      </c>
      <c r="E174" t="s">
        <v>2323</v>
      </c>
    </row>
    <row r="175" spans="1:8" x14ac:dyDescent="0.25">
      <c r="A175">
        <v>174</v>
      </c>
      <c r="B175" t="s">
        <v>2255</v>
      </c>
      <c r="C175">
        <v>4417218.9000000004</v>
      </c>
      <c r="D175">
        <v>5669625.0999999996</v>
      </c>
      <c r="E175" t="s">
        <v>2338</v>
      </c>
      <c r="F175">
        <v>628</v>
      </c>
      <c r="G175">
        <v>631</v>
      </c>
      <c r="H175">
        <v>647</v>
      </c>
    </row>
    <row r="176" spans="1:8" x14ac:dyDescent="0.25">
      <c r="A176">
        <v>175</v>
      </c>
      <c r="B176" t="s">
        <v>2256</v>
      </c>
      <c r="C176">
        <v>4417308.2</v>
      </c>
      <c r="D176">
        <v>5669285.7000000002</v>
      </c>
      <c r="E176" t="s">
        <v>2330</v>
      </c>
      <c r="F176">
        <v>632</v>
      </c>
      <c r="G176">
        <v>637</v>
      </c>
      <c r="H176">
        <v>643</v>
      </c>
    </row>
    <row r="177" spans="1:8" x14ac:dyDescent="0.25">
      <c r="A177">
        <v>176</v>
      </c>
      <c r="B177" t="s">
        <v>2272</v>
      </c>
      <c r="C177">
        <v>4405009.7</v>
      </c>
      <c r="D177">
        <v>5597323.5</v>
      </c>
      <c r="E177" t="s">
        <v>2339</v>
      </c>
      <c r="F177">
        <v>254</v>
      </c>
      <c r="G177">
        <v>274</v>
      </c>
      <c r="H177">
        <v>283.3</v>
      </c>
    </row>
    <row r="178" spans="1:8" x14ac:dyDescent="0.25">
      <c r="A178">
        <v>177</v>
      </c>
      <c r="B178" t="s">
        <v>2257</v>
      </c>
      <c r="C178">
        <v>4398404.7</v>
      </c>
      <c r="D178">
        <v>5595329.5999999996</v>
      </c>
      <c r="E178" t="s">
        <v>2325</v>
      </c>
      <c r="F178">
        <v>525</v>
      </c>
      <c r="G178">
        <v>527</v>
      </c>
      <c r="H178">
        <v>556</v>
      </c>
    </row>
    <row r="179" spans="1:8" x14ac:dyDescent="0.25">
      <c r="A179">
        <v>178</v>
      </c>
      <c r="B179" t="s">
        <v>2258</v>
      </c>
      <c r="E179" t="s">
        <v>2273</v>
      </c>
    </row>
    <row r="180" spans="1:8" x14ac:dyDescent="0.25">
      <c r="A180">
        <v>179</v>
      </c>
      <c r="B180" t="s">
        <v>2259</v>
      </c>
      <c r="C180">
        <v>4398401.5999999996</v>
      </c>
      <c r="D180">
        <v>5690263</v>
      </c>
      <c r="E180" t="s">
        <v>2273</v>
      </c>
    </row>
    <row r="181" spans="1:8" x14ac:dyDescent="0.25">
      <c r="A181">
        <v>180</v>
      </c>
      <c r="B181" t="s">
        <v>2260</v>
      </c>
      <c r="C181">
        <v>4446937.5</v>
      </c>
      <c r="D181">
        <v>5652233.2999999998</v>
      </c>
      <c r="E181" t="s">
        <v>2323</v>
      </c>
    </row>
    <row r="182" spans="1:8" x14ac:dyDescent="0.25">
      <c r="A182">
        <v>181</v>
      </c>
      <c r="B182" t="s">
        <v>2262</v>
      </c>
      <c r="C182">
        <v>4398647.3</v>
      </c>
      <c r="D182">
        <v>5659706.2000000002</v>
      </c>
      <c r="E182" t="s">
        <v>2273</v>
      </c>
    </row>
    <row r="183" spans="1:8" x14ac:dyDescent="0.25">
      <c r="A183">
        <v>182</v>
      </c>
      <c r="B183" t="s">
        <v>2263</v>
      </c>
      <c r="C183">
        <v>4371941.5</v>
      </c>
      <c r="D183">
        <v>5618980.6900000004</v>
      </c>
      <c r="E183" t="s">
        <v>2325</v>
      </c>
      <c r="F183">
        <v>248</v>
      </c>
      <c r="G183">
        <v>254</v>
      </c>
      <c r="H183">
        <v>267</v>
      </c>
    </row>
    <row r="184" spans="1:8" x14ac:dyDescent="0.25">
      <c r="A184">
        <v>183</v>
      </c>
      <c r="B184" t="s">
        <v>2264</v>
      </c>
      <c r="C184">
        <v>4425849.0999999996</v>
      </c>
      <c r="D184">
        <v>5620667.5999999996</v>
      </c>
      <c r="E184" t="s">
        <v>2323</v>
      </c>
      <c r="F184">
        <v>101.6</v>
      </c>
      <c r="G184">
        <v>115</v>
      </c>
      <c r="H184">
        <v>124.4</v>
      </c>
    </row>
    <row r="185" spans="1:8" x14ac:dyDescent="0.25">
      <c r="A185">
        <v>184</v>
      </c>
      <c r="B185" t="s">
        <v>2265</v>
      </c>
      <c r="C185">
        <v>4499494.4000000004</v>
      </c>
      <c r="D185">
        <v>5659647.5999999996</v>
      </c>
      <c r="E185" t="s">
        <v>2273</v>
      </c>
    </row>
    <row r="186" spans="1:8" x14ac:dyDescent="0.25">
      <c r="A186">
        <v>185</v>
      </c>
      <c r="B186" t="s">
        <v>2266</v>
      </c>
      <c r="C186">
        <v>4408004.5999999996</v>
      </c>
      <c r="D186">
        <v>5616842</v>
      </c>
      <c r="E186" t="s">
        <v>2323</v>
      </c>
    </row>
    <row r="187" spans="1:8" x14ac:dyDescent="0.25">
      <c r="A187">
        <v>186</v>
      </c>
      <c r="B187" t="s">
        <v>2267</v>
      </c>
      <c r="C187">
        <v>4475767.4000000004</v>
      </c>
      <c r="D187">
        <v>5608475.2999999998</v>
      </c>
      <c r="E187" t="s">
        <v>2323</v>
      </c>
    </row>
    <row r="188" spans="1:8" x14ac:dyDescent="0.25">
      <c r="A188">
        <v>187</v>
      </c>
      <c r="B188" t="s">
        <v>2268</v>
      </c>
      <c r="C188">
        <v>4477417.9000000004</v>
      </c>
      <c r="D188">
        <v>5595879</v>
      </c>
      <c r="E188" t="s">
        <v>2323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workbookViewId="0">
      <selection activeCell="I31" sqref="I31"/>
    </sheetView>
  </sheetViews>
  <sheetFormatPr baseColWidth="10" defaultRowHeight="15" x14ac:dyDescent="0.25"/>
  <sheetData>
    <row r="1" spans="1:8" x14ac:dyDescent="0.25">
      <c r="A1" t="s">
        <v>2087</v>
      </c>
      <c r="B1" t="s">
        <v>2088</v>
      </c>
      <c r="C1" t="s">
        <v>2342</v>
      </c>
      <c r="D1" t="s">
        <v>2343</v>
      </c>
      <c r="E1" t="s">
        <v>2341</v>
      </c>
      <c r="F1" t="s">
        <v>2344</v>
      </c>
      <c r="G1" t="s">
        <v>2345</v>
      </c>
      <c r="H1" t="s">
        <v>2346</v>
      </c>
    </row>
    <row r="2" spans="1:8" x14ac:dyDescent="0.25">
      <c r="A2">
        <v>4</v>
      </c>
      <c r="B2" t="s">
        <v>2092</v>
      </c>
      <c r="C2">
        <v>4410119.8</v>
      </c>
      <c r="D2">
        <v>5677194.7999999998</v>
      </c>
      <c r="E2" t="s">
        <v>2273</v>
      </c>
      <c r="F2" s="10">
        <v>505</v>
      </c>
      <c r="G2" s="10">
        <v>528</v>
      </c>
      <c r="H2">
        <v>539</v>
      </c>
    </row>
    <row r="3" spans="1:8" x14ac:dyDescent="0.25">
      <c r="A3">
        <v>5</v>
      </c>
      <c r="B3" t="s">
        <v>2093</v>
      </c>
      <c r="C3">
        <v>4410449.0999999996</v>
      </c>
      <c r="D3">
        <v>5677385.9000000004</v>
      </c>
      <c r="E3" t="s">
        <v>2273</v>
      </c>
      <c r="F3" s="10">
        <v>559</v>
      </c>
      <c r="G3" s="10">
        <v>565</v>
      </c>
      <c r="H3">
        <v>570</v>
      </c>
    </row>
    <row r="4" spans="1:8" x14ac:dyDescent="0.25">
      <c r="A4">
        <v>6</v>
      </c>
      <c r="B4" t="s">
        <v>2094</v>
      </c>
      <c r="C4">
        <v>4410942.4000000004</v>
      </c>
      <c r="D4">
        <v>5677743</v>
      </c>
      <c r="E4" t="s">
        <v>2273</v>
      </c>
      <c r="F4" s="10">
        <v>604</v>
      </c>
      <c r="G4" s="10">
        <v>612</v>
      </c>
      <c r="H4">
        <v>639</v>
      </c>
    </row>
    <row r="5" spans="1:8" x14ac:dyDescent="0.25">
      <c r="A5">
        <v>7</v>
      </c>
      <c r="B5" t="s">
        <v>2095</v>
      </c>
      <c r="C5">
        <v>4410185.4000000004</v>
      </c>
      <c r="D5">
        <v>5677862.9000000004</v>
      </c>
      <c r="E5" t="s">
        <v>2321</v>
      </c>
      <c r="F5" s="10">
        <v>579.5</v>
      </c>
      <c r="G5" s="10">
        <v>586.70000000000005</v>
      </c>
      <c r="H5">
        <v>595.20000000000005</v>
      </c>
    </row>
    <row r="6" spans="1:8" x14ac:dyDescent="0.25">
      <c r="A6">
        <v>9</v>
      </c>
      <c r="B6" t="s">
        <v>2097</v>
      </c>
      <c r="C6">
        <v>4414062.0999999996</v>
      </c>
      <c r="D6">
        <v>5674935.2000000002</v>
      </c>
      <c r="E6" t="s">
        <v>2322</v>
      </c>
      <c r="F6" s="10">
        <v>569.29999999999995</v>
      </c>
      <c r="G6" s="10">
        <v>576</v>
      </c>
      <c r="H6">
        <v>582.6</v>
      </c>
    </row>
    <row r="7" spans="1:8" x14ac:dyDescent="0.25">
      <c r="A7">
        <v>14</v>
      </c>
      <c r="B7" t="s">
        <v>2102</v>
      </c>
      <c r="C7">
        <v>4393738.4400000004</v>
      </c>
      <c r="D7">
        <v>5670811.3300000001</v>
      </c>
      <c r="E7" t="s">
        <v>2323</v>
      </c>
      <c r="F7" s="10">
        <v>747.7</v>
      </c>
      <c r="G7" s="10">
        <v>757.5</v>
      </c>
      <c r="H7">
        <v>768.9</v>
      </c>
    </row>
    <row r="8" spans="1:8" x14ac:dyDescent="0.25">
      <c r="A8">
        <v>15</v>
      </c>
      <c r="B8" t="s">
        <v>2103</v>
      </c>
      <c r="C8">
        <v>4399370.0999999996</v>
      </c>
      <c r="D8">
        <v>5671898.7999999998</v>
      </c>
      <c r="E8" t="s">
        <v>2324</v>
      </c>
      <c r="F8" s="10">
        <v>840.2</v>
      </c>
      <c r="G8" s="10">
        <v>841.5</v>
      </c>
      <c r="H8">
        <v>853.9</v>
      </c>
    </row>
    <row r="9" spans="1:8" x14ac:dyDescent="0.25">
      <c r="A9">
        <v>19</v>
      </c>
      <c r="B9" t="s">
        <v>2269</v>
      </c>
      <c r="C9">
        <v>4446653</v>
      </c>
      <c r="D9">
        <v>5658621</v>
      </c>
      <c r="E9" t="s">
        <v>2326</v>
      </c>
      <c r="F9" s="10">
        <v>744.3</v>
      </c>
      <c r="G9" s="10">
        <v>753.1</v>
      </c>
      <c r="H9" s="11">
        <v>757.8</v>
      </c>
    </row>
    <row r="10" spans="1:8" x14ac:dyDescent="0.25">
      <c r="A10">
        <v>20</v>
      </c>
      <c r="B10" t="s">
        <v>2107</v>
      </c>
      <c r="C10">
        <v>4400240.5999999996</v>
      </c>
      <c r="D10">
        <v>5652723.5999999996</v>
      </c>
      <c r="E10" t="s">
        <v>2273</v>
      </c>
      <c r="F10" s="10">
        <v>582</v>
      </c>
      <c r="G10" s="10">
        <v>590</v>
      </c>
      <c r="H10" s="11">
        <v>602</v>
      </c>
    </row>
    <row r="11" spans="1:8" x14ac:dyDescent="0.25">
      <c r="A11">
        <v>21</v>
      </c>
      <c r="B11" t="s">
        <v>2108</v>
      </c>
      <c r="C11">
        <v>4397909.3</v>
      </c>
      <c r="D11">
        <v>5653419.5</v>
      </c>
      <c r="E11" t="s">
        <v>2273</v>
      </c>
      <c r="F11" s="10">
        <v>597</v>
      </c>
      <c r="G11" s="10">
        <v>604</v>
      </c>
      <c r="H11" s="11">
        <v>613</v>
      </c>
    </row>
    <row r="12" spans="1:8" x14ac:dyDescent="0.25">
      <c r="A12">
        <v>22</v>
      </c>
      <c r="B12" t="s">
        <v>2109</v>
      </c>
      <c r="C12">
        <v>4399141.2</v>
      </c>
      <c r="D12">
        <v>5654773.4000000004</v>
      </c>
      <c r="E12" t="s">
        <v>2273</v>
      </c>
      <c r="F12" s="10">
        <v>546</v>
      </c>
      <c r="G12" s="10">
        <v>553</v>
      </c>
      <c r="H12" s="11">
        <v>558</v>
      </c>
    </row>
    <row r="13" spans="1:8" x14ac:dyDescent="0.25">
      <c r="A13">
        <v>23</v>
      </c>
      <c r="B13" t="s">
        <v>2110</v>
      </c>
      <c r="C13">
        <v>4402205.8</v>
      </c>
      <c r="D13">
        <v>5652925.7000000002</v>
      </c>
      <c r="E13" t="s">
        <v>2273</v>
      </c>
      <c r="F13" s="10">
        <v>657</v>
      </c>
      <c r="G13" s="10">
        <v>660</v>
      </c>
      <c r="H13" s="11">
        <v>668</v>
      </c>
    </row>
    <row r="14" spans="1:8" x14ac:dyDescent="0.25">
      <c r="A14">
        <v>25</v>
      </c>
      <c r="B14" t="s">
        <v>2112</v>
      </c>
      <c r="C14">
        <v>4396802.5</v>
      </c>
      <c r="D14">
        <v>5653897.7999999998</v>
      </c>
      <c r="E14" t="s">
        <v>2273</v>
      </c>
      <c r="F14" s="10">
        <v>613</v>
      </c>
      <c r="G14" s="10">
        <v>625</v>
      </c>
      <c r="H14" s="11">
        <v>633</v>
      </c>
    </row>
    <row r="15" spans="1:8" x14ac:dyDescent="0.25">
      <c r="A15">
        <v>26</v>
      </c>
      <c r="B15" t="s">
        <v>2113</v>
      </c>
      <c r="C15">
        <v>4400040.3</v>
      </c>
      <c r="D15">
        <v>5653971.0999999996</v>
      </c>
      <c r="E15" t="s">
        <v>2273</v>
      </c>
      <c r="F15" s="10">
        <v>538</v>
      </c>
      <c r="G15" s="10">
        <v>546</v>
      </c>
      <c r="H15" s="11">
        <v>552</v>
      </c>
    </row>
    <row r="16" spans="1:8" x14ac:dyDescent="0.25">
      <c r="A16">
        <v>28</v>
      </c>
      <c r="B16" t="s">
        <v>2115</v>
      </c>
      <c r="C16">
        <v>4398273.4000000004</v>
      </c>
      <c r="D16">
        <v>5655676.9000000004</v>
      </c>
      <c r="E16" t="s">
        <v>2325</v>
      </c>
      <c r="F16" s="10">
        <v>617.5</v>
      </c>
      <c r="G16" s="10">
        <v>620.4</v>
      </c>
      <c r="H16" s="11">
        <v>628.6</v>
      </c>
    </row>
    <row r="17" spans="1:8" x14ac:dyDescent="0.25">
      <c r="A17">
        <v>29</v>
      </c>
      <c r="B17" t="s">
        <v>2116</v>
      </c>
      <c r="C17">
        <v>4401188.2</v>
      </c>
      <c r="D17">
        <v>5653492</v>
      </c>
      <c r="E17" t="s">
        <v>2273</v>
      </c>
      <c r="F17" s="10">
        <v>576</v>
      </c>
      <c r="G17" s="10">
        <v>578</v>
      </c>
      <c r="H17" s="11">
        <v>584</v>
      </c>
    </row>
    <row r="18" spans="1:8" x14ac:dyDescent="0.25">
      <c r="A18">
        <v>30</v>
      </c>
      <c r="B18" t="s">
        <v>2117</v>
      </c>
      <c r="C18">
        <v>4397216.5</v>
      </c>
      <c r="D18">
        <v>5656020.7999999998</v>
      </c>
      <c r="E18" t="s">
        <v>2328</v>
      </c>
      <c r="F18" s="10">
        <v>716.9</v>
      </c>
      <c r="G18" s="10">
        <v>724.8</v>
      </c>
      <c r="H18" s="11">
        <v>732.3</v>
      </c>
    </row>
    <row r="19" spans="1:8" x14ac:dyDescent="0.25">
      <c r="A19">
        <v>34</v>
      </c>
      <c r="B19" t="s">
        <v>2270</v>
      </c>
      <c r="C19">
        <v>4362011.3</v>
      </c>
      <c r="D19">
        <v>5691689.3899999997</v>
      </c>
      <c r="E19" t="s">
        <v>2329</v>
      </c>
      <c r="F19" s="11">
        <v>156.5</v>
      </c>
      <c r="G19" s="11">
        <v>163.4</v>
      </c>
      <c r="H19" s="11">
        <v>185.8</v>
      </c>
    </row>
    <row r="20" spans="1:8" x14ac:dyDescent="0.25">
      <c r="A20">
        <v>36</v>
      </c>
      <c r="B20" t="s">
        <v>2122</v>
      </c>
      <c r="C20">
        <v>4458782.5</v>
      </c>
      <c r="D20">
        <v>5660101.7000000002</v>
      </c>
      <c r="E20" t="s">
        <v>2320</v>
      </c>
      <c r="F20">
        <v>677</v>
      </c>
      <c r="G20">
        <v>683</v>
      </c>
      <c r="H20">
        <v>710</v>
      </c>
    </row>
    <row r="21" spans="1:8" x14ac:dyDescent="0.25">
      <c r="A21">
        <v>37</v>
      </c>
      <c r="B21" t="s">
        <v>2123</v>
      </c>
      <c r="C21">
        <v>4453936.2</v>
      </c>
      <c r="D21">
        <v>5659434.5999999996</v>
      </c>
      <c r="E21" t="s">
        <v>2330</v>
      </c>
      <c r="F21">
        <v>772</v>
      </c>
      <c r="G21">
        <v>775</v>
      </c>
      <c r="H21">
        <v>783</v>
      </c>
    </row>
    <row r="22" spans="1:8" x14ac:dyDescent="0.25">
      <c r="A22">
        <v>38</v>
      </c>
      <c r="B22" t="s">
        <v>2124</v>
      </c>
      <c r="C22">
        <v>4456224</v>
      </c>
      <c r="D22">
        <v>5662381.5999999996</v>
      </c>
      <c r="E22" t="s">
        <v>2331</v>
      </c>
      <c r="F22" s="11">
        <v>745.4</v>
      </c>
      <c r="G22" s="11">
        <v>763.4</v>
      </c>
      <c r="H22" s="11">
        <v>778.5</v>
      </c>
    </row>
    <row r="23" spans="1:8" x14ac:dyDescent="0.25">
      <c r="A23">
        <v>39</v>
      </c>
      <c r="B23" t="s">
        <v>2125</v>
      </c>
      <c r="C23">
        <v>4458982.2</v>
      </c>
      <c r="D23">
        <v>5664557.2999999998</v>
      </c>
      <c r="E23" t="s">
        <v>2330</v>
      </c>
      <c r="F23" s="11">
        <v>788</v>
      </c>
      <c r="G23" s="11">
        <v>790</v>
      </c>
      <c r="H23" s="11">
        <v>820</v>
      </c>
    </row>
    <row r="24" spans="1:8" x14ac:dyDescent="0.25">
      <c r="A24">
        <v>40</v>
      </c>
      <c r="B24" t="s">
        <v>2126</v>
      </c>
      <c r="C24">
        <v>4459104.5</v>
      </c>
      <c r="D24">
        <v>5666396.0999999996</v>
      </c>
      <c r="E24" t="s">
        <v>2332</v>
      </c>
      <c r="F24" s="11">
        <v>774</v>
      </c>
      <c r="G24" s="11">
        <v>783</v>
      </c>
      <c r="H24" s="11">
        <v>787</v>
      </c>
    </row>
    <row r="25" spans="1:8" x14ac:dyDescent="0.25">
      <c r="A25">
        <v>43</v>
      </c>
      <c r="B25" t="s">
        <v>2129</v>
      </c>
      <c r="C25">
        <v>4457356.2</v>
      </c>
      <c r="D25">
        <v>5667469.7000000002</v>
      </c>
      <c r="E25" t="s">
        <v>2331</v>
      </c>
      <c r="F25" s="11">
        <v>739.1</v>
      </c>
      <c r="G25" s="11">
        <v>760.7</v>
      </c>
      <c r="H25" s="11">
        <v>768.1</v>
      </c>
    </row>
    <row r="26" spans="1:8" x14ac:dyDescent="0.25">
      <c r="A26">
        <v>44</v>
      </c>
      <c r="B26" t="s">
        <v>2130</v>
      </c>
      <c r="C26">
        <v>4455375.5999999996</v>
      </c>
      <c r="D26">
        <v>5668458.9000000004</v>
      </c>
      <c r="E26" t="s">
        <v>2331</v>
      </c>
      <c r="F26" s="11">
        <v>723.7</v>
      </c>
      <c r="G26" s="11">
        <v>740.4</v>
      </c>
      <c r="H26" s="11">
        <v>757</v>
      </c>
    </row>
    <row r="27" spans="1:8" x14ac:dyDescent="0.25">
      <c r="A27">
        <v>45</v>
      </c>
      <c r="B27" t="s">
        <v>2131</v>
      </c>
      <c r="C27">
        <v>4379809.96</v>
      </c>
      <c r="D27">
        <v>5657988.6200000001</v>
      </c>
      <c r="E27" t="s">
        <v>2325</v>
      </c>
      <c r="F27" s="11">
        <v>483.1</v>
      </c>
      <c r="G27" s="11">
        <v>499.1</v>
      </c>
      <c r="H27" s="11">
        <v>505.6</v>
      </c>
    </row>
    <row r="28" spans="1:8" x14ac:dyDescent="0.25">
      <c r="A28">
        <v>46</v>
      </c>
      <c r="B28" t="s">
        <v>2132</v>
      </c>
      <c r="C28">
        <v>4382608.59</v>
      </c>
      <c r="D28">
        <v>5657654.6900000004</v>
      </c>
      <c r="E28" t="s">
        <v>2273</v>
      </c>
      <c r="F28" s="11">
        <v>487</v>
      </c>
      <c r="G28" s="11">
        <v>491</v>
      </c>
      <c r="H28" s="11">
        <v>495</v>
      </c>
    </row>
    <row r="29" spans="1:8" x14ac:dyDescent="0.25">
      <c r="A29">
        <v>47</v>
      </c>
      <c r="B29" t="s">
        <v>2133</v>
      </c>
      <c r="C29">
        <v>4360277.0599999996</v>
      </c>
      <c r="D29">
        <v>5627655.6699999999</v>
      </c>
      <c r="E29" t="s">
        <v>2273</v>
      </c>
      <c r="F29" s="11">
        <v>309</v>
      </c>
      <c r="G29" s="11">
        <v>313</v>
      </c>
      <c r="H29" s="11">
        <v>317</v>
      </c>
    </row>
    <row r="30" spans="1:8" x14ac:dyDescent="0.25">
      <c r="A30">
        <v>50</v>
      </c>
      <c r="B30" t="s">
        <v>2136</v>
      </c>
      <c r="C30">
        <v>4404875.0999999996</v>
      </c>
      <c r="D30">
        <v>5606580.4000000004</v>
      </c>
      <c r="E30" t="s">
        <v>2323</v>
      </c>
      <c r="F30" s="11">
        <v>396.5</v>
      </c>
      <c r="G30" s="11">
        <v>398.9</v>
      </c>
      <c r="H30" s="11">
        <v>405.8</v>
      </c>
    </row>
    <row r="31" spans="1:8" x14ac:dyDescent="0.25">
      <c r="A31">
        <v>52</v>
      </c>
      <c r="B31" t="s">
        <v>2138</v>
      </c>
      <c r="C31">
        <v>4432701</v>
      </c>
      <c r="D31">
        <v>5654500</v>
      </c>
      <c r="E31" t="s">
        <v>2333</v>
      </c>
      <c r="F31">
        <v>911.1</v>
      </c>
      <c r="G31">
        <v>913</v>
      </c>
      <c r="H31">
        <v>916.1</v>
      </c>
    </row>
    <row r="32" spans="1:8" x14ac:dyDescent="0.25">
      <c r="A32">
        <v>53</v>
      </c>
      <c r="B32" t="s">
        <v>2139</v>
      </c>
      <c r="C32">
        <v>4448150.3</v>
      </c>
      <c r="D32">
        <v>5654874.5</v>
      </c>
      <c r="E32" t="s">
        <v>2325</v>
      </c>
      <c r="F32">
        <v>575.9</v>
      </c>
      <c r="G32">
        <v>579.9</v>
      </c>
      <c r="H32">
        <v>603</v>
      </c>
    </row>
    <row r="33" spans="1:8" x14ac:dyDescent="0.25">
      <c r="A33">
        <v>54</v>
      </c>
      <c r="B33" t="s">
        <v>2140</v>
      </c>
      <c r="C33">
        <v>4447764.8</v>
      </c>
      <c r="D33">
        <v>5653848.0999999996</v>
      </c>
      <c r="E33" t="s">
        <v>2320</v>
      </c>
      <c r="F33">
        <v>573</v>
      </c>
      <c r="G33">
        <v>590</v>
      </c>
      <c r="H33">
        <v>600</v>
      </c>
    </row>
    <row r="34" spans="1:8" x14ac:dyDescent="0.25">
      <c r="A34">
        <v>55</v>
      </c>
      <c r="B34" t="s">
        <v>2141</v>
      </c>
      <c r="C34">
        <v>4447272.2</v>
      </c>
      <c r="D34">
        <v>5652635.4000000004</v>
      </c>
      <c r="E34" t="s">
        <v>2332</v>
      </c>
      <c r="F34">
        <v>538</v>
      </c>
      <c r="G34">
        <v>542</v>
      </c>
      <c r="H34">
        <v>546</v>
      </c>
    </row>
    <row r="35" spans="1:8" x14ac:dyDescent="0.25">
      <c r="A35">
        <v>56</v>
      </c>
      <c r="B35" t="s">
        <v>2142</v>
      </c>
      <c r="C35">
        <v>4455209.5999999996</v>
      </c>
      <c r="D35">
        <v>5653473.4000000004</v>
      </c>
      <c r="E35" t="s">
        <v>2330</v>
      </c>
      <c r="F35">
        <v>615</v>
      </c>
      <c r="G35">
        <v>618</v>
      </c>
      <c r="H35">
        <v>624</v>
      </c>
    </row>
    <row r="36" spans="1:8" x14ac:dyDescent="0.25">
      <c r="A36">
        <v>59</v>
      </c>
      <c r="B36" t="s">
        <v>2144</v>
      </c>
      <c r="C36">
        <v>4408179.3</v>
      </c>
      <c r="D36">
        <v>5642181.9000000004</v>
      </c>
      <c r="E36" t="s">
        <v>2325</v>
      </c>
      <c r="F36">
        <v>547.6</v>
      </c>
      <c r="G36">
        <v>562.29999999999995</v>
      </c>
      <c r="H36">
        <v>568.29999999999995</v>
      </c>
    </row>
    <row r="37" spans="1:8" x14ac:dyDescent="0.25">
      <c r="A37">
        <v>60</v>
      </c>
      <c r="B37" t="s">
        <v>2145</v>
      </c>
      <c r="C37">
        <v>4409458</v>
      </c>
      <c r="D37">
        <v>5642593.4000000004</v>
      </c>
      <c r="E37" t="s">
        <v>2273</v>
      </c>
      <c r="F37">
        <v>595</v>
      </c>
      <c r="G37">
        <v>601</v>
      </c>
      <c r="H37">
        <v>609</v>
      </c>
    </row>
    <row r="38" spans="1:8" x14ac:dyDescent="0.25">
      <c r="A38">
        <v>62</v>
      </c>
      <c r="B38" t="s">
        <v>2147</v>
      </c>
      <c r="C38">
        <v>4451821.8</v>
      </c>
      <c r="D38">
        <v>5664811</v>
      </c>
      <c r="E38" t="s">
        <v>2320</v>
      </c>
      <c r="F38">
        <v>777</v>
      </c>
      <c r="G38">
        <v>795</v>
      </c>
      <c r="H38">
        <v>810</v>
      </c>
    </row>
    <row r="39" spans="1:8" x14ac:dyDescent="0.25">
      <c r="A39">
        <v>65</v>
      </c>
      <c r="B39" t="s">
        <v>2150</v>
      </c>
      <c r="C39">
        <v>4412860.3</v>
      </c>
      <c r="D39">
        <v>5643371.2999999998</v>
      </c>
      <c r="E39" t="s">
        <v>2273</v>
      </c>
      <c r="F39">
        <v>740</v>
      </c>
      <c r="G39">
        <v>750</v>
      </c>
      <c r="H39">
        <v>762</v>
      </c>
    </row>
    <row r="40" spans="1:8" x14ac:dyDescent="0.25">
      <c r="A40">
        <v>67</v>
      </c>
      <c r="B40" t="s">
        <v>2152</v>
      </c>
      <c r="C40">
        <v>4428186.0999999996</v>
      </c>
      <c r="D40">
        <v>5689643.7999999998</v>
      </c>
      <c r="E40" t="s">
        <v>2334</v>
      </c>
      <c r="F40">
        <v>281</v>
      </c>
      <c r="G40">
        <v>305.5</v>
      </c>
      <c r="H40">
        <v>374.2</v>
      </c>
    </row>
    <row r="41" spans="1:8" x14ac:dyDescent="0.25">
      <c r="A41">
        <v>68</v>
      </c>
      <c r="B41" t="s">
        <v>2153</v>
      </c>
      <c r="C41">
        <v>4382091.2699999996</v>
      </c>
      <c r="D41">
        <v>5676845.7699999996</v>
      </c>
      <c r="E41" t="s">
        <v>2325</v>
      </c>
      <c r="F41">
        <v>366.5</v>
      </c>
      <c r="G41">
        <v>375.9</v>
      </c>
      <c r="H41">
        <v>392</v>
      </c>
    </row>
    <row r="42" spans="1:8" x14ac:dyDescent="0.25">
      <c r="A42">
        <v>69</v>
      </c>
      <c r="B42" t="s">
        <v>2154</v>
      </c>
      <c r="C42">
        <v>4380897.62</v>
      </c>
      <c r="D42">
        <v>5678133.1500000004</v>
      </c>
      <c r="E42" t="s">
        <v>2325</v>
      </c>
      <c r="F42">
        <v>388.5</v>
      </c>
      <c r="G42">
        <v>396.5</v>
      </c>
      <c r="H42">
        <v>406.9</v>
      </c>
    </row>
    <row r="43" spans="1:8" x14ac:dyDescent="0.25">
      <c r="A43">
        <v>71</v>
      </c>
      <c r="B43" t="s">
        <v>2156</v>
      </c>
      <c r="C43">
        <v>4379049.79</v>
      </c>
      <c r="D43">
        <v>5678751.9299999997</v>
      </c>
      <c r="E43" t="s">
        <v>2273</v>
      </c>
      <c r="F43">
        <v>372</v>
      </c>
      <c r="G43">
        <v>375</v>
      </c>
      <c r="H43">
        <v>380</v>
      </c>
    </row>
    <row r="44" spans="1:8" x14ac:dyDescent="0.25">
      <c r="A44">
        <v>74</v>
      </c>
      <c r="B44" t="s">
        <v>2159</v>
      </c>
      <c r="C44">
        <v>4425463.9000000004</v>
      </c>
      <c r="D44">
        <v>5689057.9000000004</v>
      </c>
      <c r="E44" t="s">
        <v>2325</v>
      </c>
      <c r="F44">
        <v>468.2</v>
      </c>
      <c r="G44">
        <v>478.3</v>
      </c>
      <c r="H44">
        <v>489.5</v>
      </c>
    </row>
    <row r="45" spans="1:8" x14ac:dyDescent="0.25">
      <c r="A45">
        <v>75</v>
      </c>
      <c r="B45" t="s">
        <v>2160</v>
      </c>
      <c r="C45">
        <v>4419570.5999999996</v>
      </c>
      <c r="D45">
        <v>5670916.5999999996</v>
      </c>
      <c r="E45" t="s">
        <v>2330</v>
      </c>
      <c r="F45">
        <v>600</v>
      </c>
      <c r="G45">
        <v>605</v>
      </c>
      <c r="H45">
        <v>613</v>
      </c>
    </row>
    <row r="46" spans="1:8" x14ac:dyDescent="0.25">
      <c r="A46">
        <v>76</v>
      </c>
      <c r="B46" t="s">
        <v>2161</v>
      </c>
      <c r="C46">
        <v>4364949.16</v>
      </c>
      <c r="D46">
        <v>5627334.9199999999</v>
      </c>
      <c r="E46" t="s">
        <v>2325</v>
      </c>
      <c r="F46">
        <v>369.8</v>
      </c>
      <c r="G46">
        <v>374.2</v>
      </c>
      <c r="H46">
        <v>392.9</v>
      </c>
    </row>
    <row r="47" spans="1:8" x14ac:dyDescent="0.25">
      <c r="A47">
        <v>77</v>
      </c>
      <c r="B47" t="s">
        <v>2162</v>
      </c>
      <c r="C47">
        <v>4407898</v>
      </c>
      <c r="D47">
        <v>5685198.2000000002</v>
      </c>
      <c r="E47" t="s">
        <v>2273</v>
      </c>
      <c r="F47">
        <v>610</v>
      </c>
      <c r="G47">
        <v>613</v>
      </c>
      <c r="H47">
        <v>622</v>
      </c>
    </row>
    <row r="48" spans="1:8" x14ac:dyDescent="0.25">
      <c r="A48">
        <v>78</v>
      </c>
      <c r="B48" t="s">
        <v>2163</v>
      </c>
      <c r="C48">
        <v>4402868.7</v>
      </c>
      <c r="D48">
        <v>5689303.0999999996</v>
      </c>
      <c r="E48" t="s">
        <v>2273</v>
      </c>
      <c r="F48">
        <v>533</v>
      </c>
      <c r="G48">
        <v>544</v>
      </c>
      <c r="H48">
        <v>557</v>
      </c>
    </row>
    <row r="49" spans="1:8" x14ac:dyDescent="0.25">
      <c r="A49">
        <v>79</v>
      </c>
      <c r="B49" t="s">
        <v>2164</v>
      </c>
      <c r="C49">
        <v>4403351.9000000004</v>
      </c>
      <c r="D49">
        <v>5690008.7999999998</v>
      </c>
      <c r="E49" t="s">
        <v>2273</v>
      </c>
      <c r="F49">
        <v>520</v>
      </c>
      <c r="G49">
        <v>528</v>
      </c>
      <c r="H49">
        <v>547</v>
      </c>
    </row>
    <row r="50" spans="1:8" x14ac:dyDescent="0.25">
      <c r="A50">
        <v>80</v>
      </c>
      <c r="B50" t="s">
        <v>2165</v>
      </c>
      <c r="C50">
        <v>4404306.4000000004</v>
      </c>
      <c r="D50">
        <v>5690367</v>
      </c>
      <c r="E50" t="s">
        <v>2331</v>
      </c>
      <c r="F50">
        <v>535.20000000000005</v>
      </c>
      <c r="G50">
        <v>546.1</v>
      </c>
      <c r="H50">
        <v>563.5</v>
      </c>
    </row>
    <row r="51" spans="1:8" x14ac:dyDescent="0.25">
      <c r="A51">
        <v>81</v>
      </c>
      <c r="B51" t="s">
        <v>2166</v>
      </c>
      <c r="C51">
        <v>4406226.5999999996</v>
      </c>
      <c r="D51">
        <v>5691376.4000000004</v>
      </c>
      <c r="E51" t="s">
        <v>2325</v>
      </c>
      <c r="F51">
        <v>505.6</v>
      </c>
      <c r="G51">
        <v>513.6</v>
      </c>
      <c r="H51">
        <v>515.5</v>
      </c>
    </row>
    <row r="52" spans="1:8" x14ac:dyDescent="0.25">
      <c r="A52">
        <v>83</v>
      </c>
      <c r="B52" t="s">
        <v>2168</v>
      </c>
      <c r="C52">
        <v>4458846.5999999996</v>
      </c>
      <c r="D52">
        <v>5656519.4000000004</v>
      </c>
      <c r="E52" t="s">
        <v>2273</v>
      </c>
      <c r="F52">
        <v>643</v>
      </c>
      <c r="G52">
        <v>654</v>
      </c>
      <c r="H52">
        <v>666</v>
      </c>
    </row>
    <row r="53" spans="1:8" x14ac:dyDescent="0.25">
      <c r="A53">
        <v>84</v>
      </c>
      <c r="B53" t="s">
        <v>2169</v>
      </c>
      <c r="C53">
        <v>4476812.5999999996</v>
      </c>
      <c r="D53">
        <v>5657389.5</v>
      </c>
      <c r="E53" t="s">
        <v>2323</v>
      </c>
      <c r="F53">
        <v>542.9</v>
      </c>
      <c r="G53">
        <v>547.1</v>
      </c>
      <c r="H53">
        <v>555.9</v>
      </c>
    </row>
    <row r="54" spans="1:8" x14ac:dyDescent="0.25">
      <c r="A54">
        <v>87</v>
      </c>
      <c r="B54" t="s">
        <v>2173</v>
      </c>
      <c r="C54">
        <v>4397984.3</v>
      </c>
      <c r="D54">
        <v>5687087.5999999996</v>
      </c>
      <c r="E54" t="s">
        <v>2273</v>
      </c>
      <c r="F54">
        <v>412</v>
      </c>
      <c r="G54">
        <v>415</v>
      </c>
      <c r="H54">
        <v>430</v>
      </c>
    </row>
    <row r="55" spans="1:8" x14ac:dyDescent="0.25">
      <c r="A55">
        <v>88</v>
      </c>
      <c r="B55" t="s">
        <v>2174</v>
      </c>
      <c r="C55">
        <v>4396420.5999999996</v>
      </c>
      <c r="D55">
        <v>5688058.5999999996</v>
      </c>
      <c r="E55" t="s">
        <v>2273</v>
      </c>
      <c r="F55">
        <v>371</v>
      </c>
      <c r="G55">
        <v>376</v>
      </c>
      <c r="H55">
        <v>384</v>
      </c>
    </row>
    <row r="56" spans="1:8" x14ac:dyDescent="0.25">
      <c r="A56">
        <v>96</v>
      </c>
      <c r="B56" t="s">
        <v>2182</v>
      </c>
      <c r="C56">
        <v>4413674.7</v>
      </c>
      <c r="D56">
        <v>5672559.7999999998</v>
      </c>
      <c r="E56" t="s">
        <v>2273</v>
      </c>
      <c r="F56">
        <v>599</v>
      </c>
      <c r="G56">
        <v>603</v>
      </c>
      <c r="H56">
        <v>613</v>
      </c>
    </row>
    <row r="57" spans="1:8" x14ac:dyDescent="0.25">
      <c r="A57">
        <v>100</v>
      </c>
      <c r="B57" t="s">
        <v>2186</v>
      </c>
      <c r="C57">
        <v>4410409.8</v>
      </c>
      <c r="D57">
        <v>5673305.5</v>
      </c>
      <c r="E57" t="s">
        <v>2273</v>
      </c>
      <c r="F57">
        <v>575</v>
      </c>
      <c r="G57">
        <v>581</v>
      </c>
      <c r="H57">
        <v>593</v>
      </c>
    </row>
    <row r="58" spans="1:8" x14ac:dyDescent="0.25">
      <c r="A58">
        <v>101</v>
      </c>
      <c r="B58" t="s">
        <v>2187</v>
      </c>
      <c r="C58">
        <v>4409471.5</v>
      </c>
      <c r="D58">
        <v>5674140.7000000002</v>
      </c>
      <c r="E58" t="s">
        <v>2273</v>
      </c>
      <c r="F58">
        <v>578</v>
      </c>
      <c r="G58">
        <v>580</v>
      </c>
      <c r="H58">
        <v>590</v>
      </c>
    </row>
    <row r="59" spans="1:8" x14ac:dyDescent="0.25">
      <c r="A59">
        <v>102</v>
      </c>
      <c r="B59" t="s">
        <v>2188</v>
      </c>
      <c r="C59">
        <v>4410358.8</v>
      </c>
      <c r="D59">
        <v>5673889.2000000002</v>
      </c>
      <c r="E59" t="s">
        <v>2273</v>
      </c>
      <c r="F59">
        <v>575</v>
      </c>
      <c r="G59">
        <v>585</v>
      </c>
      <c r="H59">
        <v>593</v>
      </c>
    </row>
    <row r="60" spans="1:8" x14ac:dyDescent="0.25">
      <c r="A60">
        <v>103</v>
      </c>
      <c r="B60" t="s">
        <v>2189</v>
      </c>
      <c r="C60">
        <v>4411911.5</v>
      </c>
      <c r="D60">
        <v>5672953.7999999998</v>
      </c>
      <c r="E60" t="s">
        <v>2334</v>
      </c>
      <c r="F60">
        <v>579</v>
      </c>
      <c r="G60">
        <v>585.70000000000005</v>
      </c>
      <c r="H60">
        <v>597.5</v>
      </c>
    </row>
    <row r="61" spans="1:8" x14ac:dyDescent="0.25">
      <c r="A61">
        <v>104</v>
      </c>
      <c r="B61" t="s">
        <v>2190</v>
      </c>
      <c r="C61">
        <v>4409135.4000000004</v>
      </c>
      <c r="D61">
        <v>5674682.7000000002</v>
      </c>
      <c r="E61" t="s">
        <v>2273</v>
      </c>
      <c r="F61">
        <v>584</v>
      </c>
      <c r="G61">
        <v>587</v>
      </c>
      <c r="H61">
        <v>604</v>
      </c>
    </row>
    <row r="62" spans="1:8" x14ac:dyDescent="0.25">
      <c r="A62">
        <v>105</v>
      </c>
      <c r="B62" t="s">
        <v>2191</v>
      </c>
      <c r="C62">
        <v>4412249.9000000004</v>
      </c>
      <c r="D62">
        <v>5673731.4000000004</v>
      </c>
      <c r="E62" t="s">
        <v>2273</v>
      </c>
      <c r="F62">
        <v>588</v>
      </c>
      <c r="G62">
        <v>593</v>
      </c>
      <c r="H62">
        <v>602</v>
      </c>
    </row>
    <row r="63" spans="1:8" x14ac:dyDescent="0.25">
      <c r="A63">
        <v>106</v>
      </c>
      <c r="B63" t="s">
        <v>2192</v>
      </c>
      <c r="C63">
        <v>4409824.4000000004</v>
      </c>
      <c r="D63">
        <v>5676277.5999999996</v>
      </c>
      <c r="E63" t="s">
        <v>2273</v>
      </c>
      <c r="F63">
        <v>609</v>
      </c>
      <c r="G63">
        <v>618</v>
      </c>
      <c r="H63">
        <v>627</v>
      </c>
    </row>
    <row r="64" spans="1:8" x14ac:dyDescent="0.25">
      <c r="A64">
        <v>107</v>
      </c>
      <c r="B64" t="s">
        <v>2193</v>
      </c>
      <c r="C64">
        <v>4411487</v>
      </c>
      <c r="D64">
        <v>5672625</v>
      </c>
      <c r="E64" t="s">
        <v>2273</v>
      </c>
      <c r="F64">
        <v>566</v>
      </c>
      <c r="G64">
        <v>573</v>
      </c>
      <c r="H64">
        <v>587</v>
      </c>
    </row>
    <row r="65" spans="1:8" x14ac:dyDescent="0.25">
      <c r="A65">
        <v>108</v>
      </c>
      <c r="B65" t="s">
        <v>2194</v>
      </c>
      <c r="C65">
        <v>4409651.5999999996</v>
      </c>
      <c r="D65">
        <v>5674827.0999999996</v>
      </c>
      <c r="E65" t="s">
        <v>2273</v>
      </c>
      <c r="F65">
        <v>588</v>
      </c>
      <c r="G65">
        <v>591</v>
      </c>
      <c r="H65">
        <v>599</v>
      </c>
    </row>
    <row r="66" spans="1:8" x14ac:dyDescent="0.25">
      <c r="A66">
        <v>109</v>
      </c>
      <c r="B66" t="s">
        <v>2195</v>
      </c>
      <c r="C66">
        <v>4411001.0999999996</v>
      </c>
      <c r="D66">
        <v>5672731.9000000004</v>
      </c>
      <c r="E66" t="s">
        <v>2273</v>
      </c>
      <c r="F66">
        <v>576</v>
      </c>
      <c r="G66">
        <v>578</v>
      </c>
      <c r="H66">
        <v>579</v>
      </c>
    </row>
    <row r="67" spans="1:8" x14ac:dyDescent="0.25">
      <c r="A67">
        <v>110</v>
      </c>
      <c r="B67" t="s">
        <v>2196</v>
      </c>
      <c r="C67">
        <v>4410860.9000000004</v>
      </c>
      <c r="D67">
        <v>5673497.7999999998</v>
      </c>
      <c r="E67" t="s">
        <v>2273</v>
      </c>
      <c r="F67">
        <v>577</v>
      </c>
      <c r="G67">
        <v>587</v>
      </c>
      <c r="H67">
        <v>594</v>
      </c>
    </row>
    <row r="68" spans="1:8" x14ac:dyDescent="0.25">
      <c r="A68">
        <v>111</v>
      </c>
      <c r="B68" t="s">
        <v>2197</v>
      </c>
      <c r="C68">
        <v>4411570.9000000004</v>
      </c>
      <c r="D68">
        <v>5672059.7999999998</v>
      </c>
      <c r="E68" t="s">
        <v>2273</v>
      </c>
      <c r="F68">
        <v>570</v>
      </c>
      <c r="G68">
        <v>572</v>
      </c>
      <c r="H68">
        <v>583</v>
      </c>
    </row>
    <row r="69" spans="1:8" x14ac:dyDescent="0.25">
      <c r="A69">
        <v>112</v>
      </c>
      <c r="B69" t="s">
        <v>2198</v>
      </c>
      <c r="C69">
        <v>4404274.7</v>
      </c>
      <c r="D69">
        <v>5650408.1600000001</v>
      </c>
      <c r="E69" t="s">
        <v>2273</v>
      </c>
      <c r="F69">
        <v>509</v>
      </c>
      <c r="G69">
        <v>511</v>
      </c>
      <c r="H69">
        <v>518</v>
      </c>
    </row>
    <row r="70" spans="1:8" x14ac:dyDescent="0.25">
      <c r="A70">
        <v>114</v>
      </c>
      <c r="B70" t="s">
        <v>2200</v>
      </c>
      <c r="C70">
        <v>4405725.4000000004</v>
      </c>
      <c r="D70">
        <v>5647666.9000000004</v>
      </c>
      <c r="E70" t="s">
        <v>2273</v>
      </c>
      <c r="F70">
        <v>511</v>
      </c>
      <c r="G70">
        <v>518</v>
      </c>
      <c r="H70">
        <v>521</v>
      </c>
    </row>
    <row r="71" spans="1:8" x14ac:dyDescent="0.25">
      <c r="A71">
        <v>115</v>
      </c>
      <c r="B71" t="s">
        <v>2201</v>
      </c>
      <c r="C71">
        <v>4406802.9000000004</v>
      </c>
      <c r="D71">
        <v>5648043.5</v>
      </c>
      <c r="E71" t="s">
        <v>2273</v>
      </c>
      <c r="F71">
        <v>546</v>
      </c>
      <c r="G71">
        <v>553</v>
      </c>
      <c r="H71">
        <v>560</v>
      </c>
    </row>
    <row r="72" spans="1:8" x14ac:dyDescent="0.25">
      <c r="A72">
        <v>116</v>
      </c>
      <c r="B72" t="s">
        <v>2202</v>
      </c>
      <c r="C72">
        <v>4376471.4000000004</v>
      </c>
      <c r="D72">
        <v>5684737.6299999999</v>
      </c>
      <c r="E72" t="s">
        <v>2325</v>
      </c>
      <c r="F72">
        <v>316.2</v>
      </c>
      <c r="G72">
        <v>324.8</v>
      </c>
      <c r="H72">
        <v>336.1</v>
      </c>
    </row>
    <row r="73" spans="1:8" x14ac:dyDescent="0.25">
      <c r="A73">
        <v>122</v>
      </c>
      <c r="B73" t="s">
        <v>2208</v>
      </c>
      <c r="C73">
        <v>4408731.0999999996</v>
      </c>
      <c r="D73">
        <v>5668526.2000000002</v>
      </c>
      <c r="E73" t="s">
        <v>2273</v>
      </c>
      <c r="F73">
        <v>600</v>
      </c>
      <c r="G73">
        <v>603</v>
      </c>
      <c r="H73">
        <v>613</v>
      </c>
    </row>
    <row r="74" spans="1:8" x14ac:dyDescent="0.25">
      <c r="A74">
        <v>124</v>
      </c>
      <c r="B74" t="s">
        <v>2210</v>
      </c>
      <c r="C74">
        <v>4410553</v>
      </c>
      <c r="D74">
        <v>5665310.7999999998</v>
      </c>
      <c r="E74" t="s">
        <v>2335</v>
      </c>
      <c r="F74">
        <v>577</v>
      </c>
      <c r="G74">
        <v>580</v>
      </c>
      <c r="H74">
        <v>586</v>
      </c>
    </row>
    <row r="75" spans="1:8" x14ac:dyDescent="0.25">
      <c r="A75">
        <v>125</v>
      </c>
      <c r="B75" t="s">
        <v>2211</v>
      </c>
      <c r="C75">
        <v>4411469.5</v>
      </c>
      <c r="D75">
        <v>5665143.5</v>
      </c>
      <c r="E75" t="s">
        <v>2273</v>
      </c>
      <c r="F75">
        <v>570</v>
      </c>
      <c r="G75">
        <v>575</v>
      </c>
      <c r="H75">
        <v>583</v>
      </c>
    </row>
    <row r="76" spans="1:8" x14ac:dyDescent="0.25">
      <c r="A76">
        <v>126</v>
      </c>
      <c r="B76" t="s">
        <v>2212</v>
      </c>
      <c r="C76">
        <v>4363304.26</v>
      </c>
      <c r="D76">
        <v>5621430.5099999998</v>
      </c>
      <c r="E76" t="s">
        <v>2325</v>
      </c>
      <c r="F76">
        <v>682.2</v>
      </c>
      <c r="G76">
        <v>689.3</v>
      </c>
      <c r="H76">
        <v>701.6</v>
      </c>
    </row>
    <row r="77" spans="1:8" x14ac:dyDescent="0.25">
      <c r="A77">
        <v>128</v>
      </c>
      <c r="B77" t="s">
        <v>2214</v>
      </c>
      <c r="C77">
        <v>4444744.2</v>
      </c>
      <c r="D77">
        <v>5659855.2999999998</v>
      </c>
      <c r="E77" t="s">
        <v>2320</v>
      </c>
      <c r="F77">
        <v>756</v>
      </c>
      <c r="G77">
        <v>761</v>
      </c>
      <c r="H77">
        <v>765</v>
      </c>
    </row>
    <row r="78" spans="1:8" x14ac:dyDescent="0.25">
      <c r="A78">
        <v>130</v>
      </c>
      <c r="B78" t="s">
        <v>2216</v>
      </c>
      <c r="C78">
        <v>4397244.3</v>
      </c>
      <c r="D78">
        <v>5648939.5999999996</v>
      </c>
      <c r="E78" t="s">
        <v>2325</v>
      </c>
      <c r="F78">
        <v>536.9</v>
      </c>
      <c r="G78">
        <v>548.29999999999995</v>
      </c>
      <c r="H78">
        <v>580.6</v>
      </c>
    </row>
    <row r="79" spans="1:8" x14ac:dyDescent="0.25">
      <c r="A79">
        <v>131</v>
      </c>
      <c r="B79" t="s">
        <v>2217</v>
      </c>
      <c r="C79">
        <v>4396807</v>
      </c>
      <c r="D79">
        <v>5647799.7000000002</v>
      </c>
      <c r="E79" t="s">
        <v>2273</v>
      </c>
      <c r="F79">
        <v>533</v>
      </c>
      <c r="G79">
        <v>535</v>
      </c>
      <c r="H79">
        <v>544</v>
      </c>
    </row>
    <row r="80" spans="1:8" x14ac:dyDescent="0.25">
      <c r="A80">
        <v>132</v>
      </c>
      <c r="B80" t="s">
        <v>2218</v>
      </c>
      <c r="C80">
        <v>4397735</v>
      </c>
      <c r="D80">
        <v>5650109.5999999996</v>
      </c>
      <c r="E80" t="s">
        <v>2273</v>
      </c>
      <c r="F80">
        <v>539</v>
      </c>
      <c r="G80">
        <v>552</v>
      </c>
      <c r="H80">
        <v>558</v>
      </c>
    </row>
    <row r="81" spans="1:8" x14ac:dyDescent="0.25">
      <c r="A81">
        <v>133</v>
      </c>
      <c r="B81" t="s">
        <v>2219</v>
      </c>
      <c r="C81">
        <v>4395206.5</v>
      </c>
      <c r="D81">
        <v>5649575.9000000004</v>
      </c>
      <c r="E81" t="s">
        <v>2273</v>
      </c>
      <c r="F81">
        <v>530</v>
      </c>
      <c r="G81">
        <v>536</v>
      </c>
      <c r="H81">
        <v>540</v>
      </c>
    </row>
    <row r="82" spans="1:8" x14ac:dyDescent="0.25">
      <c r="A82">
        <v>135</v>
      </c>
      <c r="B82" t="s">
        <v>2221</v>
      </c>
      <c r="C82">
        <v>4407284.5</v>
      </c>
      <c r="D82">
        <v>5682709.2999999998</v>
      </c>
      <c r="E82" t="s">
        <v>2273</v>
      </c>
      <c r="F82">
        <v>594</v>
      </c>
      <c r="G82">
        <v>597</v>
      </c>
      <c r="H82">
        <v>615</v>
      </c>
    </row>
    <row r="83" spans="1:8" x14ac:dyDescent="0.25">
      <c r="A83">
        <v>136</v>
      </c>
      <c r="B83" t="s">
        <v>2222</v>
      </c>
      <c r="C83">
        <v>4390345.34</v>
      </c>
      <c r="D83">
        <v>5613464</v>
      </c>
      <c r="E83" t="s">
        <v>2323</v>
      </c>
      <c r="F83">
        <v>305</v>
      </c>
      <c r="G83">
        <v>308.8</v>
      </c>
      <c r="H83">
        <v>316.7</v>
      </c>
    </row>
    <row r="84" spans="1:8" x14ac:dyDescent="0.25">
      <c r="A84">
        <v>137</v>
      </c>
      <c r="B84" t="s">
        <v>2223</v>
      </c>
      <c r="C84">
        <v>4419059.9000000004</v>
      </c>
      <c r="D84">
        <v>5645289.2000000002</v>
      </c>
      <c r="E84" t="s">
        <v>2325</v>
      </c>
      <c r="F84">
        <v>617.29999999999995</v>
      </c>
      <c r="G84">
        <v>620.9</v>
      </c>
      <c r="H84">
        <v>633.9</v>
      </c>
    </row>
    <row r="85" spans="1:8" x14ac:dyDescent="0.25">
      <c r="A85">
        <v>138</v>
      </c>
      <c r="B85" t="s">
        <v>2224</v>
      </c>
      <c r="C85">
        <v>4419648</v>
      </c>
      <c r="D85">
        <v>5646283.0999999996</v>
      </c>
      <c r="E85" t="s">
        <v>2325</v>
      </c>
      <c r="F85">
        <v>637.5</v>
      </c>
      <c r="G85">
        <v>642.29999999999995</v>
      </c>
      <c r="H85">
        <v>645.4</v>
      </c>
    </row>
    <row r="86" spans="1:8" x14ac:dyDescent="0.25">
      <c r="A86">
        <v>139</v>
      </c>
      <c r="B86" t="s">
        <v>2225</v>
      </c>
      <c r="C86">
        <v>4420555.2</v>
      </c>
      <c r="D86">
        <v>5644215.0999999996</v>
      </c>
      <c r="E86" t="s">
        <v>2273</v>
      </c>
      <c r="F86">
        <v>611</v>
      </c>
      <c r="G86">
        <v>613</v>
      </c>
      <c r="H86">
        <v>619</v>
      </c>
    </row>
    <row r="87" spans="1:8" x14ac:dyDescent="0.25">
      <c r="A87">
        <v>141</v>
      </c>
      <c r="B87" t="s">
        <v>2227</v>
      </c>
      <c r="C87">
        <v>4447158</v>
      </c>
      <c r="D87">
        <v>5661943.2000000002</v>
      </c>
      <c r="E87" t="s">
        <v>2332</v>
      </c>
      <c r="F87">
        <v>770</v>
      </c>
      <c r="G87">
        <v>777</v>
      </c>
      <c r="H87">
        <v>781</v>
      </c>
    </row>
    <row r="88" spans="1:8" x14ac:dyDescent="0.25">
      <c r="A88">
        <v>142</v>
      </c>
      <c r="B88" t="s">
        <v>2228</v>
      </c>
      <c r="C88">
        <v>4448980.5</v>
      </c>
      <c r="D88">
        <v>5661518.0999999996</v>
      </c>
      <c r="E88" t="s">
        <v>2332</v>
      </c>
      <c r="F88">
        <v>776</v>
      </c>
      <c r="G88">
        <v>778</v>
      </c>
      <c r="H88">
        <v>788</v>
      </c>
    </row>
    <row r="89" spans="1:8" x14ac:dyDescent="0.25">
      <c r="A89">
        <v>143</v>
      </c>
      <c r="B89" t="s">
        <v>2229</v>
      </c>
      <c r="C89">
        <v>4407599</v>
      </c>
      <c r="D89">
        <v>5699888.0999999996</v>
      </c>
      <c r="E89" t="s">
        <v>2334</v>
      </c>
      <c r="F89">
        <v>106.9</v>
      </c>
      <c r="G89">
        <v>112</v>
      </c>
      <c r="H89">
        <v>119.8</v>
      </c>
    </row>
    <row r="90" spans="1:8" x14ac:dyDescent="0.25">
      <c r="A90">
        <v>145</v>
      </c>
      <c r="B90" t="s">
        <v>2231</v>
      </c>
      <c r="C90">
        <v>4410735.8</v>
      </c>
      <c r="D90">
        <v>5698224.5999999996</v>
      </c>
      <c r="E90" t="s">
        <v>2320</v>
      </c>
      <c r="F90">
        <v>198</v>
      </c>
      <c r="G90">
        <v>204</v>
      </c>
      <c r="H90">
        <v>214</v>
      </c>
    </row>
    <row r="91" spans="1:8" x14ac:dyDescent="0.25">
      <c r="A91">
        <v>150</v>
      </c>
      <c r="B91" t="s">
        <v>2236</v>
      </c>
      <c r="C91">
        <v>4382116.0999999996</v>
      </c>
      <c r="D91">
        <v>5697798.79</v>
      </c>
      <c r="E91" t="s">
        <v>2325</v>
      </c>
      <c r="F91">
        <v>65.599999999999994</v>
      </c>
      <c r="G91">
        <v>68.900000000000006</v>
      </c>
      <c r="H91">
        <v>73.099999999999994</v>
      </c>
    </row>
    <row r="92" spans="1:8" x14ac:dyDescent="0.25">
      <c r="A92">
        <v>152</v>
      </c>
      <c r="B92" t="s">
        <v>2238</v>
      </c>
      <c r="C92">
        <v>4453876</v>
      </c>
      <c r="D92">
        <v>5654617</v>
      </c>
      <c r="E92" t="s">
        <v>2330</v>
      </c>
      <c r="F92">
        <v>631</v>
      </c>
      <c r="G92">
        <v>632</v>
      </c>
      <c r="H92">
        <v>644</v>
      </c>
    </row>
    <row r="93" spans="1:8" x14ac:dyDescent="0.25">
      <c r="A93">
        <v>153</v>
      </c>
      <c r="B93" t="s">
        <v>2239</v>
      </c>
      <c r="C93">
        <v>4448775.3</v>
      </c>
      <c r="D93">
        <v>5658391.7000000002</v>
      </c>
      <c r="E93" t="s">
        <v>2330</v>
      </c>
      <c r="F93">
        <v>764</v>
      </c>
      <c r="G93">
        <v>765</v>
      </c>
      <c r="H93">
        <v>778</v>
      </c>
    </row>
    <row r="94" spans="1:8" x14ac:dyDescent="0.25">
      <c r="A94">
        <v>154</v>
      </c>
      <c r="B94" t="s">
        <v>2240</v>
      </c>
      <c r="C94">
        <v>4393768.78</v>
      </c>
      <c r="D94">
        <v>5593079.46</v>
      </c>
      <c r="E94" t="s">
        <v>2325</v>
      </c>
      <c r="F94">
        <v>196.5</v>
      </c>
      <c r="G94">
        <v>218.5</v>
      </c>
      <c r="H94">
        <v>244.6</v>
      </c>
    </row>
    <row r="95" spans="1:8" x14ac:dyDescent="0.25">
      <c r="A95">
        <v>155</v>
      </c>
      <c r="B95" t="s">
        <v>2291</v>
      </c>
      <c r="C95">
        <v>4408893.3</v>
      </c>
      <c r="D95">
        <v>5682075.2999999998</v>
      </c>
      <c r="E95" t="s">
        <v>2336</v>
      </c>
      <c r="F95">
        <v>621</v>
      </c>
      <c r="G95">
        <v>623</v>
      </c>
      <c r="H95">
        <v>636</v>
      </c>
    </row>
    <row r="96" spans="1:8" x14ac:dyDescent="0.25">
      <c r="A96">
        <v>156</v>
      </c>
      <c r="B96" t="s">
        <v>2293</v>
      </c>
      <c r="C96">
        <v>4408988</v>
      </c>
      <c r="D96">
        <v>5682958</v>
      </c>
      <c r="E96" t="s">
        <v>2273</v>
      </c>
      <c r="F96">
        <v>612</v>
      </c>
      <c r="G96">
        <v>615</v>
      </c>
      <c r="H96">
        <v>623</v>
      </c>
    </row>
    <row r="97" spans="1:8" x14ac:dyDescent="0.25">
      <c r="A97">
        <v>157</v>
      </c>
      <c r="B97" t="s">
        <v>2294</v>
      </c>
      <c r="C97">
        <v>4409160.2</v>
      </c>
      <c r="D97">
        <v>5683434.2000000002</v>
      </c>
      <c r="E97" t="s">
        <v>2273</v>
      </c>
      <c r="F97">
        <v>617</v>
      </c>
      <c r="G97">
        <v>621</v>
      </c>
      <c r="H97">
        <v>632</v>
      </c>
    </row>
    <row r="98" spans="1:8" x14ac:dyDescent="0.25">
      <c r="A98">
        <v>158</v>
      </c>
      <c r="B98" t="s">
        <v>2295</v>
      </c>
      <c r="C98">
        <v>4408463.8</v>
      </c>
      <c r="D98">
        <v>5682159.7000000002</v>
      </c>
      <c r="E98" t="s">
        <v>2273</v>
      </c>
      <c r="F98">
        <v>610</v>
      </c>
      <c r="G98">
        <v>614</v>
      </c>
      <c r="H98">
        <v>626</v>
      </c>
    </row>
    <row r="99" spans="1:8" x14ac:dyDescent="0.25">
      <c r="A99">
        <v>159</v>
      </c>
      <c r="B99" t="s">
        <v>2296</v>
      </c>
      <c r="C99">
        <v>4409585</v>
      </c>
      <c r="D99">
        <v>5681999</v>
      </c>
      <c r="E99" t="s">
        <v>2320</v>
      </c>
      <c r="F99">
        <v>650</v>
      </c>
      <c r="G99">
        <v>658</v>
      </c>
      <c r="H99">
        <v>669</v>
      </c>
    </row>
    <row r="100" spans="1:8" x14ac:dyDescent="0.25">
      <c r="A100">
        <v>160</v>
      </c>
      <c r="B100" t="s">
        <v>2241</v>
      </c>
      <c r="C100">
        <v>4453973.0999999996</v>
      </c>
      <c r="D100">
        <v>5671143</v>
      </c>
      <c r="E100" t="s">
        <v>2325</v>
      </c>
      <c r="F100">
        <v>708</v>
      </c>
      <c r="G100">
        <v>711</v>
      </c>
      <c r="H100">
        <v>720</v>
      </c>
    </row>
    <row r="101" spans="1:8" x14ac:dyDescent="0.25">
      <c r="A101">
        <v>161</v>
      </c>
      <c r="B101" t="s">
        <v>2242</v>
      </c>
      <c r="C101">
        <v>4410104.7</v>
      </c>
      <c r="D101">
        <v>5605004.0999999996</v>
      </c>
      <c r="E101" t="s">
        <v>2323</v>
      </c>
      <c r="F101">
        <v>556.6</v>
      </c>
      <c r="G101">
        <v>559.20000000000005</v>
      </c>
      <c r="H101">
        <v>568.20000000000005</v>
      </c>
    </row>
    <row r="102" spans="1:8" x14ac:dyDescent="0.25">
      <c r="A102">
        <v>162</v>
      </c>
      <c r="B102" t="s">
        <v>2243</v>
      </c>
      <c r="C102">
        <v>4409743.7</v>
      </c>
      <c r="D102">
        <v>5679562.7999999998</v>
      </c>
      <c r="E102" t="s">
        <v>2321</v>
      </c>
      <c r="F102">
        <v>625.29999999999995</v>
      </c>
      <c r="G102">
        <v>631.6</v>
      </c>
      <c r="H102">
        <v>638.79999999999995</v>
      </c>
    </row>
    <row r="103" spans="1:8" x14ac:dyDescent="0.25">
      <c r="A103">
        <v>163</v>
      </c>
      <c r="B103" t="s">
        <v>2244</v>
      </c>
      <c r="C103">
        <v>4363622</v>
      </c>
      <c r="D103">
        <v>5628075.6600000001</v>
      </c>
      <c r="E103" t="s">
        <v>2273</v>
      </c>
      <c r="F103">
        <v>62</v>
      </c>
      <c r="G103">
        <v>90</v>
      </c>
      <c r="H103">
        <v>99</v>
      </c>
    </row>
    <row r="104" spans="1:8" x14ac:dyDescent="0.25">
      <c r="A104">
        <v>164</v>
      </c>
      <c r="B104" t="s">
        <v>2245</v>
      </c>
      <c r="C104">
        <v>4363385.1500000004</v>
      </c>
      <c r="D104">
        <v>5627310.71</v>
      </c>
      <c r="E104" t="s">
        <v>2273</v>
      </c>
      <c r="F104">
        <v>138</v>
      </c>
      <c r="G104">
        <v>140</v>
      </c>
      <c r="H104">
        <v>145</v>
      </c>
    </row>
    <row r="105" spans="1:8" x14ac:dyDescent="0.25">
      <c r="A105">
        <v>166</v>
      </c>
      <c r="B105" t="s">
        <v>2247</v>
      </c>
      <c r="C105">
        <v>4429280.5999999996</v>
      </c>
      <c r="D105">
        <v>5668426.4000000004</v>
      </c>
      <c r="E105" t="s">
        <v>2320</v>
      </c>
      <c r="F105">
        <v>747</v>
      </c>
      <c r="G105">
        <v>749</v>
      </c>
      <c r="H105">
        <v>748</v>
      </c>
    </row>
    <row r="106" spans="1:8" x14ac:dyDescent="0.25">
      <c r="A106">
        <v>169</v>
      </c>
      <c r="B106" t="s">
        <v>2250</v>
      </c>
      <c r="C106">
        <v>4428991.2</v>
      </c>
      <c r="D106">
        <v>5671561.5</v>
      </c>
      <c r="E106" t="s">
        <v>2325</v>
      </c>
      <c r="F106">
        <v>715.2</v>
      </c>
      <c r="G106">
        <v>722.4</v>
      </c>
      <c r="H106">
        <v>737.5</v>
      </c>
    </row>
    <row r="107" spans="1:8" x14ac:dyDescent="0.25">
      <c r="A107">
        <v>172</v>
      </c>
      <c r="B107" t="s">
        <v>2253</v>
      </c>
      <c r="C107">
        <v>4429835.3</v>
      </c>
      <c r="D107">
        <v>5671174</v>
      </c>
      <c r="E107" t="s">
        <v>2337</v>
      </c>
      <c r="F107">
        <v>716.5</v>
      </c>
      <c r="G107">
        <v>718.5</v>
      </c>
      <c r="H107">
        <v>725</v>
      </c>
    </row>
    <row r="108" spans="1:8" x14ac:dyDescent="0.25">
      <c r="A108">
        <v>174</v>
      </c>
      <c r="B108" t="s">
        <v>2255</v>
      </c>
      <c r="C108">
        <v>4417218.9000000004</v>
      </c>
      <c r="D108">
        <v>5669625.0999999996</v>
      </c>
      <c r="E108" t="s">
        <v>2338</v>
      </c>
      <c r="F108">
        <v>628</v>
      </c>
      <c r="G108">
        <v>631</v>
      </c>
      <c r="H108">
        <v>647</v>
      </c>
    </row>
    <row r="109" spans="1:8" x14ac:dyDescent="0.25">
      <c r="A109">
        <v>175</v>
      </c>
      <c r="B109" t="s">
        <v>2256</v>
      </c>
      <c r="C109">
        <v>4417308.2</v>
      </c>
      <c r="D109">
        <v>5669285.7000000002</v>
      </c>
      <c r="E109" t="s">
        <v>2330</v>
      </c>
      <c r="F109">
        <v>632</v>
      </c>
      <c r="G109">
        <v>637</v>
      </c>
      <c r="H109">
        <v>643</v>
      </c>
    </row>
    <row r="110" spans="1:8" x14ac:dyDescent="0.25">
      <c r="A110">
        <v>176</v>
      </c>
      <c r="B110" t="s">
        <v>2272</v>
      </c>
      <c r="C110">
        <v>4405009.7</v>
      </c>
      <c r="D110">
        <v>5597323.5</v>
      </c>
      <c r="E110" t="s">
        <v>2339</v>
      </c>
      <c r="F110">
        <v>254</v>
      </c>
      <c r="G110">
        <v>274</v>
      </c>
      <c r="H110">
        <v>283.3</v>
      </c>
    </row>
    <row r="111" spans="1:8" x14ac:dyDescent="0.25">
      <c r="A111">
        <v>177</v>
      </c>
      <c r="B111" t="s">
        <v>2257</v>
      </c>
      <c r="C111">
        <v>4398404.7</v>
      </c>
      <c r="D111">
        <v>5595329.5999999996</v>
      </c>
      <c r="E111" t="s">
        <v>2325</v>
      </c>
      <c r="F111">
        <v>525</v>
      </c>
      <c r="G111">
        <v>527</v>
      </c>
      <c r="H111">
        <v>556</v>
      </c>
    </row>
    <row r="112" spans="1:8" x14ac:dyDescent="0.25">
      <c r="A112">
        <v>182</v>
      </c>
      <c r="B112" t="s">
        <v>2263</v>
      </c>
      <c r="C112">
        <v>4371941.5</v>
      </c>
      <c r="D112">
        <v>5618980.6900000004</v>
      </c>
      <c r="E112" t="s">
        <v>2325</v>
      </c>
      <c r="F112">
        <v>248</v>
      </c>
      <c r="G112">
        <v>254</v>
      </c>
      <c r="H112">
        <v>267</v>
      </c>
    </row>
    <row r="113" spans="1:8" x14ac:dyDescent="0.25">
      <c r="A113">
        <v>183</v>
      </c>
      <c r="B113" t="s">
        <v>2264</v>
      </c>
      <c r="C113">
        <v>4425849.0999999996</v>
      </c>
      <c r="D113">
        <v>5620667.5999999996</v>
      </c>
      <c r="E113" t="s">
        <v>2323</v>
      </c>
      <c r="F113">
        <v>101.6</v>
      </c>
      <c r="G113">
        <v>115</v>
      </c>
      <c r="H113">
        <v>124.4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alle Dateien</vt:lpstr>
      <vt:lpstr>Bohrungen</vt:lpstr>
      <vt:lpstr>Geo_Koordinaten</vt:lpstr>
      <vt:lpstr>Kategorie</vt:lpstr>
      <vt:lpstr>Zusammenführung</vt:lpstr>
      <vt:lpstr>Zusammenführung gefiltert</vt:lpstr>
      <vt:lpstr>Kategorie!Zielbereich</vt:lpstr>
    </vt:vector>
  </TitlesOfParts>
  <Company>IAB Weimar gGmbH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Lorenz, Rico</dc:creator>
  <cp:lastModifiedBy>Lorenz, Rico</cp:lastModifiedBy>
  <dcterms:created xsi:type="dcterms:W3CDTF">2025-03-19T07:25:21Z</dcterms:created>
  <dcterms:modified xsi:type="dcterms:W3CDTF">2025-03-20T10:34:30Z</dcterms:modified>
</cp:coreProperties>
</file>